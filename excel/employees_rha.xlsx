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X287" i="1"/>
  <c r="X285"/>
  <c r="X283"/>
  <c r="X281"/>
  <c r="X280"/>
  <c r="X279"/>
  <c r="X278"/>
  <c r="X277"/>
  <c r="X276"/>
  <c r="X274"/>
  <c r="X272"/>
  <c r="X267"/>
  <c r="X266"/>
  <c r="X263"/>
  <c r="X257"/>
  <c r="X255"/>
  <c r="X253"/>
  <c r="X247"/>
  <c r="X244"/>
  <c r="X240"/>
  <c r="X239"/>
  <c r="X237"/>
  <c r="X236"/>
  <c r="X226"/>
  <c r="X224"/>
  <c r="X221"/>
  <c r="X220"/>
  <c r="X219"/>
  <c r="X218"/>
  <c r="X217"/>
  <c r="X216"/>
  <c r="X215"/>
  <c r="X214"/>
  <c r="X213"/>
  <c r="X212"/>
  <c r="X210"/>
  <c r="X209"/>
  <c r="X207"/>
  <c r="X206"/>
  <c r="X205"/>
  <c r="X202"/>
  <c r="X200"/>
  <c r="X199"/>
  <c r="X198"/>
  <c r="X196"/>
  <c r="X195"/>
  <c r="AB194"/>
  <c r="X192"/>
  <c r="X191"/>
  <c r="X190"/>
  <c r="X189"/>
  <c r="X187"/>
  <c r="X186"/>
  <c r="X185"/>
  <c r="X184"/>
  <c r="X182"/>
  <c r="X181"/>
  <c r="X180"/>
  <c r="X179"/>
  <c r="X178"/>
  <c r="X177"/>
  <c r="X176"/>
  <c r="X173"/>
  <c r="X172"/>
  <c r="X170"/>
  <c r="X169"/>
  <c r="X168"/>
  <c r="X167"/>
  <c r="X166"/>
  <c r="X165"/>
  <c r="X164"/>
  <c r="X163"/>
  <c r="AB162"/>
  <c r="AB161"/>
  <c r="AB160"/>
  <c r="AB159"/>
  <c r="X158"/>
  <c r="AB157"/>
  <c r="X156"/>
  <c r="X155"/>
  <c r="X154"/>
  <c r="X153"/>
  <c r="X152"/>
  <c r="AB151"/>
  <c r="AB150"/>
  <c r="X150"/>
  <c r="X149"/>
  <c r="AB148"/>
  <c r="X147"/>
  <c r="X146"/>
  <c r="X145"/>
  <c r="AB144"/>
  <c r="AB143"/>
  <c r="X143"/>
  <c r="AB142"/>
  <c r="AB141"/>
  <c r="AB140"/>
  <c r="AB139"/>
  <c r="X138"/>
  <c r="X137"/>
  <c r="AB136"/>
  <c r="AB135"/>
  <c r="AB134"/>
  <c r="X133"/>
  <c r="X132"/>
  <c r="AB130"/>
  <c r="X130"/>
  <c r="X129"/>
  <c r="X128"/>
  <c r="X127"/>
  <c r="X126"/>
  <c r="X125"/>
  <c r="X124"/>
  <c r="X123"/>
  <c r="AB121"/>
  <c r="AB120"/>
  <c r="X120"/>
  <c r="X119"/>
  <c r="X118"/>
  <c r="X117"/>
  <c r="X116"/>
  <c r="N116"/>
  <c r="N115"/>
  <c r="N114"/>
  <c r="X113"/>
  <c r="N113"/>
  <c r="N112"/>
  <c r="N111"/>
  <c r="N110"/>
  <c r="N109"/>
  <c r="X108"/>
  <c r="N108"/>
  <c r="N107"/>
  <c r="X106"/>
  <c r="N106"/>
  <c r="X105"/>
  <c r="N105"/>
  <c r="X102"/>
  <c r="AB98"/>
  <c r="AB96"/>
  <c r="AB95"/>
  <c r="AB94"/>
  <c r="X90"/>
  <c r="AB88"/>
  <c r="X88"/>
  <c r="V88"/>
  <c r="AB87"/>
  <c r="AB86"/>
  <c r="AB85"/>
  <c r="AB84"/>
  <c r="AB83"/>
  <c r="AB82"/>
  <c r="X81"/>
  <c r="V81"/>
  <c r="X80"/>
  <c r="V80"/>
  <c r="X79"/>
  <c r="V79"/>
  <c r="X78"/>
  <c r="V78"/>
  <c r="X77"/>
  <c r="V77"/>
  <c r="V76"/>
  <c r="X75"/>
  <c r="V75"/>
  <c r="AB74"/>
  <c r="X74"/>
  <c r="V74"/>
  <c r="W73"/>
  <c r="V73"/>
  <c r="W72"/>
  <c r="X70"/>
  <c r="V70"/>
  <c r="X69"/>
  <c r="V69"/>
  <c r="AB68"/>
  <c r="V67"/>
  <c r="X66"/>
  <c r="V66"/>
  <c r="X65"/>
  <c r="V65"/>
  <c r="X64"/>
  <c r="V64"/>
  <c r="X62"/>
  <c r="V62"/>
  <c r="X61"/>
  <c r="V61"/>
  <c r="X59"/>
  <c r="V59"/>
  <c r="X57"/>
  <c r="X56"/>
  <c r="X55"/>
  <c r="AB54"/>
  <c r="X54"/>
  <c r="V54"/>
  <c r="AB53"/>
  <c r="V53"/>
  <c r="X52"/>
  <c r="AB51"/>
  <c r="V51"/>
  <c r="X50"/>
  <c r="W47"/>
  <c r="V47"/>
  <c r="X46"/>
  <c r="V46"/>
  <c r="X45"/>
  <c r="V45"/>
  <c r="W44"/>
  <c r="V44"/>
  <c r="X43"/>
  <c r="V43"/>
  <c r="X42"/>
  <c r="V42"/>
  <c r="X41"/>
  <c r="V41"/>
  <c r="X40"/>
  <c r="V40"/>
  <c r="W39"/>
  <c r="V39"/>
  <c r="W38"/>
  <c r="V38"/>
  <c r="W37"/>
  <c r="V37"/>
  <c r="W36"/>
  <c r="V36"/>
  <c r="X35"/>
  <c r="V35"/>
  <c r="V34"/>
  <c r="X33"/>
  <c r="V33"/>
  <c r="X32"/>
  <c r="V32"/>
  <c r="V31"/>
  <c r="W30"/>
  <c r="V30"/>
  <c r="X29"/>
  <c r="V29"/>
  <c r="X28"/>
  <c r="V28"/>
  <c r="AB27"/>
  <c r="V27"/>
  <c r="X26"/>
  <c r="V26"/>
  <c r="V25"/>
  <c r="W24"/>
  <c r="V24"/>
  <c r="W23"/>
  <c r="V23"/>
  <c r="W22"/>
  <c r="V22"/>
  <c r="X21"/>
  <c r="V21"/>
  <c r="AB20"/>
  <c r="V20"/>
  <c r="W19"/>
  <c r="V19"/>
  <c r="AB18"/>
  <c r="V18"/>
  <c r="AB17"/>
  <c r="W17"/>
  <c r="V17"/>
  <c r="X16"/>
  <c r="W15"/>
  <c r="V15"/>
  <c r="AB14"/>
  <c r="V14"/>
  <c r="W13"/>
  <c r="V13"/>
  <c r="X12"/>
  <c r="V12"/>
  <c r="AB11"/>
  <c r="AB10"/>
  <c r="V10"/>
  <c r="AB9"/>
  <c r="V9"/>
  <c r="AB8"/>
  <c r="V8"/>
  <c r="V7"/>
  <c r="X6"/>
  <c r="V6"/>
  <c r="X5"/>
  <c r="V5"/>
  <c r="V4"/>
  <c r="V3"/>
  <c r="V2"/>
</calcChain>
</file>

<file path=xl/sharedStrings.xml><?xml version="1.0" encoding="utf-8"?>
<sst xmlns="http://schemas.openxmlformats.org/spreadsheetml/2006/main" count="1100" uniqueCount="498">
  <si>
    <t>SL</t>
  </si>
  <si>
    <t>Name</t>
  </si>
  <si>
    <t>DEGN</t>
  </si>
  <si>
    <t>PF</t>
  </si>
  <si>
    <t>HRMS ID</t>
  </si>
  <si>
    <t>Gender</t>
  </si>
  <si>
    <t>Category</t>
  </si>
  <si>
    <t>Gradation</t>
  </si>
  <si>
    <t>mob</t>
  </si>
  <si>
    <t>WhatsApp</t>
  </si>
  <si>
    <t>lobby</t>
  </si>
  <si>
    <t>CLI</t>
  </si>
  <si>
    <t>DOB</t>
  </si>
  <si>
    <t>DOR</t>
  </si>
  <si>
    <t>PME DUE</t>
  </si>
  <si>
    <t>Technical Due</t>
  </si>
  <si>
    <t>Transportation Due</t>
  </si>
  <si>
    <t>TR 10</t>
  </si>
  <si>
    <t>tr 13</t>
  </si>
  <si>
    <t>tr 11</t>
  </si>
  <si>
    <t>tr 12</t>
  </si>
  <si>
    <t>pf len</t>
  </si>
  <si>
    <t>Column 1</t>
  </si>
  <si>
    <t>Column 2</t>
  </si>
  <si>
    <t>JAYANTA DAS</t>
  </si>
  <si>
    <t>MOTORMAN</t>
  </si>
  <si>
    <t>CGWJMF</t>
  </si>
  <si>
    <t>M</t>
  </si>
  <si>
    <t>UR</t>
  </si>
  <si>
    <t>A</t>
  </si>
  <si>
    <t>CC(R) RHA</t>
  </si>
  <si>
    <t>SIDDHARTHA BISWAS</t>
  </si>
  <si>
    <t>https://drive.google.com/file/d/1Y0_H9uaKWayZRw8m7qGE89dRSzdt2YAY/view?usp=sharing</t>
  </si>
  <si>
    <t>https://drive.google.com/file/d/1Z6V_FGJrcfgFHemPCVK4J7a9oCdM-u6U/view?usp=sharing</t>
  </si>
  <si>
    <t>BIPLAB BISWAS</t>
  </si>
  <si>
    <t>PEFZEZ</t>
  </si>
  <si>
    <t>SC</t>
  </si>
  <si>
    <t>B</t>
  </si>
  <si>
    <t>https://drive.google.com/file/d/1nK4-5llhhx_6K_sZwaOm9GR1Tu3c6iM6/view?usp=sharing</t>
  </si>
  <si>
    <t>https://drive.google.com/file/d/1LjnbK2BtEM9rAy8Pyzx6QpCupoC1pnOa/view?usp=sharing</t>
  </si>
  <si>
    <t>PRAVASH RAJBHAR</t>
  </si>
  <si>
    <t>SLKEUQ</t>
  </si>
  <si>
    <t>https://drive.google.com/file/d/1jTUR2cXXbaCYySdi54zOFUdkb58Qdhs3/view?usp=sharing</t>
  </si>
  <si>
    <t>https://drive.google.com/file/d/1caK9x3Uzybu4JpnAfO4KRpj6HwbF7Ikc/view?usp=sharing</t>
  </si>
  <si>
    <t>RATAN SIL</t>
  </si>
  <si>
    <t>FSGMWX</t>
  </si>
  <si>
    <t>TAPAS KR DE</t>
  </si>
  <si>
    <t>https://drive.google.com/file/d/1GNZG5YFLf-HOrpVjtFcp2xj0mai_R-IV/view?usp=sharing</t>
  </si>
  <si>
    <t>https://drive.google.com/file/d/1oiYZ-1xJGu_ra594xkRhqMVobTavaU-j/view?usp=drive_link</t>
  </si>
  <si>
    <t>KAMAL DAS II</t>
  </si>
  <si>
    <t>WNBHDN</t>
  </si>
  <si>
    <t>https://drive.google.com/file/d/1Z68T4QRLrE4Jb4AW9JKeDR9KTtieM91R/view?usp=sharing</t>
  </si>
  <si>
    <t>JAYANTA MONDAL</t>
  </si>
  <si>
    <t>YJEIWK</t>
  </si>
  <si>
    <t>https://drive.google.com/file/d/1Rg-501st9V8-e8rwRk8ueZ6jVfbl0xEg/view?usp=sharing</t>
  </si>
  <si>
    <t>https://drive.google.com/file/d/1mtuShwoHDx7vL1xJ02nOQdU55gdQlAhT/view?usp=sharing</t>
  </si>
  <si>
    <t>SUMIT KUMAR BISWAS</t>
  </si>
  <si>
    <t>HRQOHW</t>
  </si>
  <si>
    <t>SUSOVAN KAR</t>
  </si>
  <si>
    <t>https://drive.google.com/file/d/1MozAYeDlun-rR3_Gv6UX9OhnY_sSvNib/view?usp=sharing</t>
  </si>
  <si>
    <t>https://drive.google.com/file/d/18yU-A8xwtp0UxccE3a5TTENaBttda2yT/view?usp=sharing</t>
  </si>
  <si>
    <t>MANOJIT PAL</t>
  </si>
  <si>
    <t>HSOPJG</t>
  </si>
  <si>
    <t>B M KALUNDIA</t>
  </si>
  <si>
    <t>https://drive.google.com/file/d/1xLYJz7zY6WYFXh4tSFoV1vXX3F0NxuLW/view?usp=sharing</t>
  </si>
  <si>
    <t>https://drive.google.com/file/d/1b34tKZ-PgAG0f0kNFlkHtNHw92goCSgM/view?usp=sharing</t>
  </si>
  <si>
    <t>SUBRATA SEN</t>
  </si>
  <si>
    <t>QETHUG</t>
  </si>
  <si>
    <t>https://drive.google.com/file/d/1UTLfvVGfCrJ7j03wrEkB4-nIUqb_ElF2/view?usp=sharing</t>
  </si>
  <si>
    <t>https://drive.google.com/file/d/1setVsJUnsICkoLuz6FLKbA1ucy4Krauz/view?usp=sharing</t>
  </si>
  <si>
    <t>AMARESH MONDAL II</t>
  </si>
  <si>
    <t>TWAKLZ</t>
  </si>
  <si>
    <t>https://drive.google.com/file/d/1BiFG0LOs1PokOHKlRkTLdHWwixPtxenN/view?usp=sharing</t>
  </si>
  <si>
    <t>https://drive.google.com/file/d/18vqJq6otKepeNyclm96EoUjcFY2UucJE/view?usp=sharing</t>
  </si>
  <si>
    <t>KAMAL MAJUMDER</t>
  </si>
  <si>
    <t>ACIPBU</t>
  </si>
  <si>
    <t>BIBHAS SARKAR</t>
  </si>
  <si>
    <t>https://drive.google.com/file/d/1YswL8SLWIwuXwjECCl-DyIXtZdyPtQx7/view?usp=sharing</t>
  </si>
  <si>
    <t>https://drive.google.com/file/d/15WzuE_fMzA5Y6vC5xNol5p1NegToiINN/view?usp=sharing</t>
  </si>
  <si>
    <t>SANDEEP SARKAR</t>
  </si>
  <si>
    <t>KIQUDA</t>
  </si>
  <si>
    <t>MAHADEO MANJHI</t>
  </si>
  <si>
    <t>https://drive.google.com/file/d/1IKyVg0tOBXn4tbHAQKQZMipfgY3ZA1XV/view?usp=sharing</t>
  </si>
  <si>
    <t>https://drive.google.com/file/d/1K9D4f486tlru3ECtmVLHRtOG4CId_FU0/view?usp=sharing</t>
  </si>
  <si>
    <t>SANKAR BISWAS</t>
  </si>
  <si>
    <t>HWGRXJ</t>
  </si>
  <si>
    <t>https://drive.google.com/file/d/1SgRpZeuXfObkFh73lIEgGr1oCu1HuSHV/view?usp=sharing</t>
  </si>
  <si>
    <t>https://drive.google.com/file/d/1TUwPfEFr2p-7YZHbP3hog_07PKo9dJNS/view?usp=sharing</t>
  </si>
  <si>
    <t>HARAN RAY</t>
  </si>
  <si>
    <t>PCXXTF</t>
  </si>
  <si>
    <t>https://drive.google.com/file/d/1fu36Kz3aBGoa-QGM7Nd9f-G3aAI7lMQT/view?usp=sharing</t>
  </si>
  <si>
    <t>https://drive.google.com/file/d/1PZkYqWV7BQdXyVFc5KMfFgfzMTUkX720/view?usp=sharing</t>
  </si>
  <si>
    <t>ARUP BISWAS</t>
  </si>
  <si>
    <t>COKUIE</t>
  </si>
  <si>
    <t>A T KHAN</t>
  </si>
  <si>
    <t>https://drive.google.com/file/d/1lA9Gh5zREFmpS4XUY5970eOBXaY_9znP/view?usp=sharing</t>
  </si>
  <si>
    <t>https://drive.google.com/file/d/1Y7ZVDfc2EQMWUsqKrBkXULZobJVNoFVn/view?usp=sharing</t>
  </si>
  <si>
    <t>.</t>
  </si>
  <si>
    <t>PROSENJIT MONDAL</t>
  </si>
  <si>
    <t>FYWXIR</t>
  </si>
  <si>
    <t>https://drive.google.com/file/d/1vBGTPebWf5fR4x12xFdaQI_eAjpa65VS/view?usp=sharing</t>
  </si>
  <si>
    <t>https://drive.google.com/file/d/1KBQfPEHnKYlfxe-UIR-u5yoQKZvHNbQP/view?usp=sharing</t>
  </si>
  <si>
    <t>SUDIP BISWAS</t>
  </si>
  <si>
    <t>FCOJQS</t>
  </si>
  <si>
    <t>SWAPAN KUMAR MONDAL</t>
  </si>
  <si>
    <t>https://drive.google.com/file/d/1brOBKIFMNqaOzG5PTJUBio3Ef-A5JkMb/view?usp=sharing</t>
  </si>
  <si>
    <t>https://drive.google.com/file/d/16ADv97c9fmrFtfCLdy0BoipYohBGR1nb/view?usp=sharing</t>
  </si>
  <si>
    <t>ASHIM PAUL</t>
  </si>
  <si>
    <t>UKLDAS</t>
  </si>
  <si>
    <t>https://drive.google.com/file/d/10aStTgqhVBEB_7yWKYj16aUj-kRCwiO9/view?usp=sharing</t>
  </si>
  <si>
    <t>https://drive.google.com/file/d/1N3IX-89HnjhoZF54sEat6fepb_qysfcF/view?usp=sharing</t>
  </si>
  <si>
    <t>ASHIM MAJUMDER</t>
  </si>
  <si>
    <t>NDKOCO</t>
  </si>
  <si>
    <t>https://drive.google.com/file/d/1daOugPVIwPE3KyCyRP_mDEPH-fYQqB0O/view?usp=sharing</t>
  </si>
  <si>
    <t>https://drive.google.com/file/d/1TEINDG-RswNAzJ7FZGpB1iqfArHCsMmd/view?usp=sharing</t>
  </si>
  <si>
    <t>PINKU BISWAS</t>
  </si>
  <si>
    <t>QJLXBO</t>
  </si>
  <si>
    <t>https://drive.google.com/file/d/1Td8_mB_zPL2_zNGhUWCsQg4gNE810811/view?usp=sharing</t>
  </si>
  <si>
    <t>https://drive.google.com/file/d/1Wvq7EiTVSLL9HMZv6Fi_LcDwuwB7fOPe/view?usp=sharing</t>
  </si>
  <si>
    <t>BIPLAB BISWAS II</t>
  </si>
  <si>
    <t>MRYETK</t>
  </si>
  <si>
    <t>https://drive.google.com/file/d/1x9tK0zWtcpSxUnDsrUzcAyNW0L8kS5BE/view?usp=sharing</t>
  </si>
  <si>
    <t>https://drive.google.com/file/d/1zT-z-KaMLFXlfk_XJgH8ciw-Vi0Dtc55/view?usp=sharing</t>
  </si>
  <si>
    <t>BISHNU PAUL</t>
  </si>
  <si>
    <t>YQGELP</t>
  </si>
  <si>
    <t>https://drive.google.com/file/d/1kxLNsnl9DccCSJpTixC55h6lW7dXeZuy/view?usp=sharing</t>
  </si>
  <si>
    <t>https://drive.google.com/file/d/1V5wzj_RnzVAlQoLGobiJvSkTO1YUvMau/view?usp=sharing</t>
  </si>
  <si>
    <t>RAJA MAJUMDER</t>
  </si>
  <si>
    <t>ICGQFL</t>
  </si>
  <si>
    <t>https://drive.google.com/file/d/1Nq8vCNV-qpTF6K0S_bEWBs14A1J53iCK/view?usp=sharing</t>
  </si>
  <si>
    <t>https://drive.google.com/file/d/16XM084edeTVmeVyl21qkHARz9ehjHOVR/view?usp=sharing</t>
  </si>
  <si>
    <t>SUMAN BISWAS</t>
  </si>
  <si>
    <t>AAUQDU</t>
  </si>
  <si>
    <t>https://drive.google.com/file/d/1aieym6lrt1_RjZ7IIV78XX0B09vS-Fbl/view?usp=sharing</t>
  </si>
  <si>
    <t>https://drive.google.com/file/d/1WNI_p8ubw6QiHUyR6Wi4owlP-eSum2to/view?usp=share_link</t>
  </si>
  <si>
    <t>SANJAY ROY</t>
  </si>
  <si>
    <t>RYGBCE</t>
  </si>
  <si>
    <t>https://drive.google.com/file/d/1ihdwba0vV4i8uOkSsIXFWq8oxenIqQNV/view?usp=sharing</t>
  </si>
  <si>
    <t>https://drive.google.com/file/d/1H-SrETzCpTS5f2WAh-OP2fEbsR9iQOhZ/view?usp=sharing</t>
  </si>
  <si>
    <t>SWAPAN NASKAR</t>
  </si>
  <si>
    <t>WRLGKT</t>
  </si>
  <si>
    <t>https://drive.google.com/file/d/1V-9IaBa6MmZ1yUGFD7lAyzBQueh_tZDv/view?usp=sharing</t>
  </si>
  <si>
    <t>https://drive.google.com/file/d/1jwgkJbuxNYKuHpvja1Nw5MuTYMJb1URm/view?usp=sharing</t>
  </si>
  <si>
    <t>SHUBHRADIP BISWAS</t>
  </si>
  <si>
    <t>KEQHXR</t>
  </si>
  <si>
    <t>https://drive.google.com/file/d/1A3Gz1uejPVo1puxbZGKEHcI_BxjyL1Sf/view?usp=sharing</t>
  </si>
  <si>
    <t>https://drive.google.com/file/d/1Tier8JBcDFGCU7y3uqJf4_QFOI7hi2hE/view?usp=sharing</t>
  </si>
  <si>
    <t>KUMAR DAS</t>
  </si>
  <si>
    <t>SRFHJL</t>
  </si>
  <si>
    <t>https://drive.google.com/file/d/1nhKCxWbg925xUp27IYsS2BaJjG2vJi_3/view?usp=sharing</t>
  </si>
  <si>
    <t>https://drive.google.com/file/d/1GgvCpAxk3r1zKrhRCizoWLKAwX5CB2To/view?usp=sharing</t>
  </si>
  <si>
    <t>https://drive.google.com/file/d/1totpJ-FFkugI5OhOuYGrzpMKXu9pIBlv/view?usp=share_link</t>
  </si>
  <si>
    <t>SANJIT ROY</t>
  </si>
  <si>
    <t>JGYHGO</t>
  </si>
  <si>
    <t>https://drive.google.com/file/d/125KctaNyMCuoAtWL94bCHlukiuzc2VZq/view?usp=sharing</t>
  </si>
  <si>
    <t>https://drive.google.com/file/d/1UXHW3Uj0z-hvZnq_jaS0bNKUaq4JmOTo/view?usp=sharing</t>
  </si>
  <si>
    <t>DEEPAK SARKAR</t>
  </si>
  <si>
    <t>CPEEDA</t>
  </si>
  <si>
    <t>https://drive.google.com/file/d/1k0dbDDt4xzuC1ocFrOVcN1osN3RV9fU_/view?usp=sharing</t>
  </si>
  <si>
    <t>https://drive.google.com/file/d/1fmAixWbEvnD0imD7PznF4DdjbmNPPaV1/view?usp=sharing</t>
  </si>
  <si>
    <t>SHYAMAL KUMAR ROY</t>
  </si>
  <si>
    <t>OMNNCD</t>
  </si>
  <si>
    <t>https://drive.google.com/file/d/1A4aSoaQ3glzT1S2AWMEsjdk1rmU5g5hp/view?usp=sharing</t>
  </si>
  <si>
    <t>MILAN PRAMANICK</t>
  </si>
  <si>
    <t>UHXQUL</t>
  </si>
  <si>
    <t>https://drive.google.com/file/d/1GJcKWTHBcsAO4WRff4bWUJCH01xTfYE2/view?usp=sharing</t>
  </si>
  <si>
    <t>https://drive.google.com/file/d/1WtbbmTDQD3Jccf1bHisfSW6J5ydNIw-f/view?usp=sharing</t>
  </si>
  <si>
    <t>https://drive.google.com/file/d/1jhfWakpIVORAQN_jOhYbvu0DO4s_WjQ4/view?usp=share_link</t>
  </si>
  <si>
    <t>SUPRATIM BISWAS</t>
  </si>
  <si>
    <t>EHGQFE</t>
  </si>
  <si>
    <t>https://drive.google.com/file/d/10y0s2x0nFYLIDvkklvlwFGDiHLOLbokC/view?usp=sharing</t>
  </si>
  <si>
    <t>https://drive.google.com/file/d/1ayA5EQ16c3pd6tRdx4zYt0yi8NPZHIHp/view?usp=sharing</t>
  </si>
  <si>
    <t>KAMALESH DEBNATH</t>
  </si>
  <si>
    <t>BSQJPN</t>
  </si>
  <si>
    <t>https://drive.google.com/file/d/1AJV92cZQxw8UkYCe7WUqsXpfaQlCGjxl/view?usp=sharing</t>
  </si>
  <si>
    <t>https://drive.google.com/file/d/1VixUob79HEnt2fKGLbPtanp_wEScVjL_/view?usp=sharing</t>
  </si>
  <si>
    <t>SUMAN SARKAR</t>
  </si>
  <si>
    <t>CPIKUF</t>
  </si>
  <si>
    <t>https://drive.google.com/file/d/1ZE5oVEvNppCPJxXpf1d2iHIB4IRZ6aT5/view?usp=sharing</t>
  </si>
  <si>
    <t>https://drive.google.com/file/d/1gssv4MPjGTaP6ftfxlMzoq4dJpCipq-Q/view?usp=sharing</t>
  </si>
  <si>
    <t>DIPANKAR MONDAL</t>
  </si>
  <si>
    <t>ZNHLQE</t>
  </si>
  <si>
    <t>https://drive.google.com/file/d/1brG9ly1PjvhkgyYzFvA-IzcCjXaQ3NqJ/view?usp=sharing</t>
  </si>
  <si>
    <t>https://drive.google.com/file/d/1aSf2SY2K9qQ6HJRkUIuTX7hoXyKz7bmK/view?usp=sharing</t>
  </si>
  <si>
    <t>https://drive.google.com/file/d/1SWFrYbClfVdra-n3oFx1P1TyH4SF0zya/view?usp=sharing</t>
  </si>
  <si>
    <t>SUKUMAR MONDAL II</t>
  </si>
  <si>
    <t>YBQQWK</t>
  </si>
  <si>
    <t>https://drive.google.com/file/d/1rf1HLUFnRntiIOINUQmdc4D2_31F6F9u/view?usp=sharing</t>
  </si>
  <si>
    <t>https://drive.google.com/file/d/1KjneMx-85CvJwDrZpHoStONX-iQjAB90/view?usp=sharing</t>
  </si>
  <si>
    <t>https://drive.google.com/file/d/1jZelQWppZKpYNQU4nMPOhbZqMM817oik/view?usp=sharing</t>
  </si>
  <si>
    <t>SAMIR KUMAR ROY</t>
  </si>
  <si>
    <t xml:space="preserve">UQWPPT	</t>
  </si>
  <si>
    <t>https://drive.google.com/file/d/1EWf-akM7VqdIkSSxVOQtIKY7Mp0v-AOb/view?usp=sharing</t>
  </si>
  <si>
    <t>https://drive.google.com/file/d/1KkdzvArbvHN22IqEGkltGpVbHGDf-q89/view?usp=sharing</t>
  </si>
  <si>
    <t>https://drive.google.com/file/d/19qWunNes0jLA6pxgP_buQSPtNGARAePN/view?usp=sharing</t>
  </si>
  <si>
    <t>SUJAY BISWAS</t>
  </si>
  <si>
    <t>WQJAWQ</t>
  </si>
  <si>
    <t>https://drive.google.com/file/d/1Kza304OyK-cm0-LCQjb4ZJTsMFPStxvL/view?usp=sharing</t>
  </si>
  <si>
    <t>https://drive.google.com/file/d/1kjmhHYV5qOGEwSKjJH2mS_MX3_ewl_3j/view?usp=share_link</t>
  </si>
  <si>
    <t xml:space="preserve"> </t>
  </si>
  <si>
    <t>KRISHNO CH. DUTTA</t>
  </si>
  <si>
    <t>TNDFAX</t>
  </si>
  <si>
    <t>https://drive.google.com/file/d/1pw4HG-LxOIsstoYOHEVkoCeo2d_t6ESM/view?usp=sharing</t>
  </si>
  <si>
    <t>MD SWAPAN BISWAS</t>
  </si>
  <si>
    <t>BYEPSJ</t>
  </si>
  <si>
    <t>https://drive.google.com/file/d/1YBqrfiJ9LWH2Mt47o9NxAWOvY9E4zyKz/view?usp=sharing</t>
  </si>
  <si>
    <t>https://drive.google.com/file/d/1MrmVKmMG5LOgTMBOh0uPovuxjJGxsuAL/view?usp=sharing</t>
  </si>
  <si>
    <t>KAUSHIK MANDAL/II</t>
  </si>
  <si>
    <t>SULBFW</t>
  </si>
  <si>
    <t>https://drive.google.com/file/d/1Ssiz5znj8ov9NMo68bOEyH9CkNibyDuW/view?usp=sharing</t>
  </si>
  <si>
    <t>https://drive.google.com/file/d/15kBmP6wTK0-f0Bj0feFZwiqmtwOtqWIR/view?usp=sharing</t>
  </si>
  <si>
    <t>BISWAJIT BISWAS II</t>
  </si>
  <si>
    <t>NSTEHO</t>
  </si>
  <si>
    <t>https://drive.google.com/file/d/15vd5gSoJc_RRIZHAssy25IfSkLN4yqqR/view?usp=sharing</t>
  </si>
  <si>
    <t>SAHADEV SARDAR</t>
  </si>
  <si>
    <t>IPNLQU</t>
  </si>
  <si>
    <t>ST</t>
  </si>
  <si>
    <t>https://drive.google.com/file/d/11vp8rtsIMSxWpj58rGY8JjDKtoZbdCrB/view?usp=sharing</t>
  </si>
  <si>
    <t>RANJAN PAL</t>
  </si>
  <si>
    <t>ZYJEPG</t>
  </si>
  <si>
    <t>https://drive.google.com/file/d/1DsGHhssuf-oyMk7wKenY5WLy5bk-OW8S/view?usp=sharing</t>
  </si>
  <si>
    <t>https://drive.google.com/file/d/1fpnSW3YZOCTmXxzqLc8VvKpuap377f-c/view?usp=sharing</t>
  </si>
  <si>
    <t>https://drive.google.com/file/d/1oQixQPaIuOg01ANrcieapwjMYxyHvE1J/view?usp=drive_link</t>
  </si>
  <si>
    <t>SREEJIB BISWAS</t>
  </si>
  <si>
    <t>50205613267</t>
  </si>
  <si>
    <t>WTCCNK</t>
  </si>
  <si>
    <t>https://drive.google.com/file/d/1vptRImG9cgLgYBENvjgzVxjuuFs0vbVB/view?usp=sharing</t>
  </si>
  <si>
    <t>https://drive.google.com/file/d/1JCgDBp03pO9_at0iGm9uNBEgtBPX4bGI/view?usp=sharing</t>
  </si>
  <si>
    <t>AKHIL BISWAS</t>
  </si>
  <si>
    <t>LPG</t>
  </si>
  <si>
    <t>PHSAKQ</t>
  </si>
  <si>
    <t>https://drive.google.com/file/d/1XJmO-AzcLtgQdIwApkiTIEI8VqoBFYZJ/view?usp=sharing</t>
  </si>
  <si>
    <t>https://drive.google.com/file/d/1sksfFgpZWa3c-9o883OmZoyYBl738fe-/view?usp=share_link</t>
  </si>
  <si>
    <t>https://drive.google.com/file/d/1MUyM1TJzVJ6aiKWXvdwzNBhXZp-Xch_M/view?usp=sharing</t>
  </si>
  <si>
    <t>KARTICK CHANDRA DUTTA</t>
  </si>
  <si>
    <t>NFHLYH</t>
  </si>
  <si>
    <t>https://drive.google.com/file/d/1aJPHq_jn7uFcs7bX7xewcLO9V9zF_9ek/view?usp=sharing</t>
  </si>
  <si>
    <t>https://drive.google.com/file/d/18N0iCOAFY_4SIj0aqwJr01MB4-SP0AWg/view?usp=sharing</t>
  </si>
  <si>
    <t>https://drive.google.com/file/d/1stz06WESKGoVERAe-4-5GfxRlEGQMqRn/view?usp=sharing</t>
  </si>
  <si>
    <t>Mrinmoy Sarkar</t>
  </si>
  <si>
    <t>EMUWTC</t>
  </si>
  <si>
    <t>https://drive.google.com/file/d/1D5SWgh_MEJ78kdhwlRU31AzBNethbAhY/view?usp=sharing</t>
  </si>
  <si>
    <t>https://drive.google.com/file/d/1AMnFyVDDYbXDKaBxQxP2G8N0ODA__wHY/view?usp=share_link</t>
  </si>
  <si>
    <t>https://drive.google.com/file/d/1RceXjA_mOtMXub845zPsZB5KVCOPyFf0/view?usp=sharing</t>
  </si>
  <si>
    <t>PARIMAL BISWAS</t>
  </si>
  <si>
    <t>03429800341</t>
  </si>
  <si>
    <t>UGOMHW</t>
  </si>
  <si>
    <t>https://drive.google.com/file/d/1GzT032FLgwncD0f48ppQhSiabwsTGyLF/view?usp=sharing</t>
  </si>
  <si>
    <t>https://drive.google.com/file/d/1NgRcgjY93QJgbFp4uKu6uHlhUg01-gqA/view?usp=sharing</t>
  </si>
  <si>
    <t>Tuhin Sarkar</t>
  </si>
  <si>
    <t>LPS</t>
  </si>
  <si>
    <t>OIDBCI</t>
  </si>
  <si>
    <t>https://drive.google.com/file/d/1W_45KyJ_lcrXL9LTz7fDfYd5NYF4-bpi/view?usp=sharing</t>
  </si>
  <si>
    <t>KANAI MANDAL</t>
  </si>
  <si>
    <t>XOGNOB</t>
  </si>
  <si>
    <t>https://drive.google.com/file/d/1q2rPi-5eotoqBWoYu8IWUrubnM1vqgO1/view?usp=sharing</t>
  </si>
  <si>
    <t>https://drive.google.com/file/d/12rqcLhEM3cvdbHHnwAHDfk8Q1nboJ9zs/view?usp=share_link</t>
  </si>
  <si>
    <t>https://drive.google.com/file/d/1QlH5Iro003OQOgzqGo58n0BAruNRsRNZ/view?usp=share_link</t>
  </si>
  <si>
    <t>Dipankar Halder</t>
  </si>
  <si>
    <t>YCNZNX</t>
  </si>
  <si>
    <t>https://drive.google.com/file/d/1T4h-GFEs7W8f5ZQYwF0yJzBNxo1eF0jB/view?usp=sharing</t>
  </si>
  <si>
    <t>Ranit Sarkar</t>
  </si>
  <si>
    <t>ZBYSKR</t>
  </si>
  <si>
    <t>https://drive.google.com/file/d/18XWbsSvYJnXintQRV6yDMUe1bBNknHWn/view?usp=sharing</t>
  </si>
  <si>
    <t>LITON KANTI BAPARI</t>
  </si>
  <si>
    <t>IETJHY</t>
  </si>
  <si>
    <t>https://drive.google.com/file/d/1SWFivIkd0zotLL_ffOrlTMdIS3RjZLoK/view?usp=sharing</t>
  </si>
  <si>
    <t>https://drive.google.com/file/d/1745q6dHhw3mmg_xZpvUEXe8ZqKwqs9pd/view?usp=drive_link</t>
  </si>
  <si>
    <t>Gourab Ghosh</t>
  </si>
  <si>
    <t>MAKKWJ</t>
  </si>
  <si>
    <t>SANJAY KR GUPTA</t>
  </si>
  <si>
    <t>https://drive.google.com/file/d/1eMPc8ld3tscr4sD-mm4Qa31cy3ZoSFdu/view?usp=sharing</t>
  </si>
  <si>
    <t>https://drive.google.com/file/d/1v4FxZENicFVgiLyQYh8lR5D_R2naxWZV/view?usp=drive_link</t>
  </si>
  <si>
    <t>Aritra Biswas</t>
  </si>
  <si>
    <t>PHSLCO</t>
  </si>
  <si>
    <t xml:space="preserve">                                                                    </t>
  </si>
  <si>
    <t>https://drive.google.com/file/d/128-h_bhJOxzH1qO89hBZufsFblFhtSJt/view?usp=sharing</t>
  </si>
  <si>
    <t>Jagannath Bhaskar</t>
  </si>
  <si>
    <t>SGMSBT</t>
  </si>
  <si>
    <t>SUDIP ROY</t>
  </si>
  <si>
    <t>https://drive.google.com/file/d/1oCNzvCp-GIT3onWvyojKSY8_EZhw0p2V/view?usp=sharing</t>
  </si>
  <si>
    <t>Anik Mondal</t>
  </si>
  <si>
    <t>UUYYOL</t>
  </si>
  <si>
    <t>https://drive.google.com/file/d/1K3anQkIAfN_ixFw8UmVttpYxb51Nak4e/view?usp=sharing</t>
  </si>
  <si>
    <t>Soumen Sur</t>
  </si>
  <si>
    <t>YSCJXP</t>
  </si>
  <si>
    <t>https://drive.google.com/file/d/1TlFll8hvw5ROJSfWu7FWXVTQlWVZ83--/view?usp=sharing</t>
  </si>
  <si>
    <t>SANJAY HALDER I</t>
  </si>
  <si>
    <t>GHSXOL</t>
  </si>
  <si>
    <t>https://drive.google.com/file/d/111KkP3YnIfMsGAX44OIqReL2jpBql0Q8/view?usp=sharing</t>
  </si>
  <si>
    <t>Amal Mondal</t>
  </si>
  <si>
    <t>EWXAFF</t>
  </si>
  <si>
    <t>https://drive.google.com/file/d/1KCM5r3AVKB6WgWxTo5UAssTBlq-G9Med/view?usp=sharing</t>
  </si>
  <si>
    <t>https://drive.google.com/file/d/1zNDr9I0dsv0XqQJZqV6o4p4xFgp_g9ei/view?usp=sharing</t>
  </si>
  <si>
    <t>Gopal Biswas</t>
  </si>
  <si>
    <t>NMPGCI</t>
  </si>
  <si>
    <t>https://drive.google.com/file/d/1TSewLM5OFJERXiq91sUfcnyXC9e4ggwJ/view?usp=sharing</t>
  </si>
  <si>
    <t>https://drive.google.com/file/d/1ZSwzAzr_9JCVweTAXYt25d5Iu75mJgSX/view?usp=sharing</t>
  </si>
  <si>
    <t>Koushik Biswas</t>
  </si>
  <si>
    <t>NSCUHB</t>
  </si>
  <si>
    <t>https://drive.google.com/file/d/1zc_adf-oem0qN2P-kcnyED7ZyCAW4cAi/view?usp=sharing</t>
  </si>
  <si>
    <t>Gurudas Majumder</t>
  </si>
  <si>
    <t>YAWQUD</t>
  </si>
  <si>
    <t>https://drive.google.com/file/d/1kEaAAMYcKwVwWYlu9ZqMx8E11AnEn1vh/view?usp=sharing</t>
  </si>
  <si>
    <t>BAPI SEN</t>
  </si>
  <si>
    <t>03429800342</t>
  </si>
  <si>
    <t>QKJYNF</t>
  </si>
  <si>
    <t>https://drive.google.com/file/d/1OOJ_Am5m01lEl45U2kGZVEJy8idB8xVi/view?usp=sharing</t>
  </si>
  <si>
    <t>https://drive.google.com/file/d/1nF-7m40URqrfCjUtJlpuGYv13FKmOmrN/view?usp=share_link</t>
  </si>
  <si>
    <t>https://drive.google.com/file/d/1InE49vEZVfFwc5xsdtb3ZRzOukDBwwFd/view?usp=sharing</t>
  </si>
  <si>
    <t>PRASENJIT DAS/II</t>
  </si>
  <si>
    <t>INOCQG</t>
  </si>
  <si>
    <t>SUMIT BHATTACHARJEE</t>
  </si>
  <si>
    <t>https://drive.google.com/file/d/1q8ACKEaxbwav_3KyOcxGCA0m5Ew-tDLz/view?usp=sharing</t>
  </si>
  <si>
    <t>https://drive.google.com/file/d/1IyTysQKtWzTXQaCsytyAzN9fV2QOABya/view?usp=share_link</t>
  </si>
  <si>
    <t>https://drive.google.com/file/d/1yARkzFW613CNiOIb_bYcTFxuyaiB0cvE/view?usp=share_link</t>
  </si>
  <si>
    <t>Kiranmoy Chaudhury</t>
  </si>
  <si>
    <t>ARJGSR</t>
  </si>
  <si>
    <t>https://drive.google.com/file/d/1YYyq57g6AZpGefsn89-poS74HCRhEFIE/view?usp=sharing</t>
  </si>
  <si>
    <t>Sudipta Biswas</t>
  </si>
  <si>
    <t>FQAKYF</t>
  </si>
  <si>
    <t>https://drive.google.com/file/d/17-9zkBJKeglK7nZlUjLJY70NLSw5bcuS/view?usp=sharing</t>
  </si>
  <si>
    <t>Avijit Mondal</t>
  </si>
  <si>
    <t>HGGEFH</t>
  </si>
  <si>
    <t>https://drive.google.com/file/d/1a1aoHb8K74Nzvx1wmJrplunWt8QSQG84/view?usp=sharing</t>
  </si>
  <si>
    <t>https://drive.google.com/file/d/18TshnJABVXeTKzDrHYy81gTsn_eFd4AV/view?usp=sharing</t>
  </si>
  <si>
    <t>https://drive.google.com/file/d/1ZlNzKYmJrnsFzg_A01R6pf_2bFpG6iw3/view?usp=drive_link</t>
  </si>
  <si>
    <t>Mahadev Mandi</t>
  </si>
  <si>
    <t>LGEAWR</t>
  </si>
  <si>
    <t>13/09/1889</t>
  </si>
  <si>
    <t>https://drive.google.com/file/d/1zHuoem5Dre_AyzUS3ncrBBmdsUfdNEUz/view?usp=sharing</t>
  </si>
  <si>
    <t>https://drive.google.com/file/d/1gmKkO_FdoRzXL3t82Qkcp7I5j9lBxIqU/view?usp=sharing</t>
  </si>
  <si>
    <t>Krishnendu Chattopadhaya</t>
  </si>
  <si>
    <t>50205678225</t>
  </si>
  <si>
    <t>AMTIKM</t>
  </si>
  <si>
    <t>https://drive.google.com/file/d/1mGcKd1rYYJcPQBPbCcPgrcFv7CrdhFGH/view?usp=sharing</t>
  </si>
  <si>
    <t>MISS MOUSUMI SARKAR</t>
  </si>
  <si>
    <t>YDIFHE</t>
  </si>
  <si>
    <t>F</t>
  </si>
  <si>
    <t>C</t>
  </si>
  <si>
    <t>https://drive.google.com/file/d/176akyrYiyL0luEkDxezxdS3vAy2YaYG0/view?usp=sharing</t>
  </si>
  <si>
    <t>https://drive.google.com/file/d/1iNivXCXppNYfR3Ta7K8O-x_lSPLQe5fK/view?usp=share_link</t>
  </si>
  <si>
    <t>https://drive.google.com/file/d/13pUOBGlrPKyQFfzNMMiODjmUQjYWCKVp/view?usp=sharing</t>
  </si>
  <si>
    <t>SULOPANI MAJUMDER</t>
  </si>
  <si>
    <t>UYZNMC</t>
  </si>
  <si>
    <t>https://drive.google.com/file/d/1e5aFjOkpM4ppENKcvczUcrQOHvXNP2u2/view?usp=sharing</t>
  </si>
  <si>
    <t>https://drive.google.com/file/d/1BXLkuNgFQ80bn4GMyeagcC6FvhTKdNO9/view?usp=sharing</t>
  </si>
  <si>
    <t>https://drive.google.com/file/d/1Bpr0SfcNiByf41GwtKTnus_DzbAhh86N/view?usp=sharing</t>
  </si>
  <si>
    <t>PRITAM BISWAS</t>
  </si>
  <si>
    <t>ASOUGH</t>
  </si>
  <si>
    <t>https://drive.google.com/file/d/1iOm0l-CrM-ZTXoq9XFJeq7xw6cZFPg2x/view?usp=sharing</t>
  </si>
  <si>
    <t>https://drive.google.com/file/d/1IOGGxYzEJ2KkcFNs1r7FSpbxgA5QOrsj/view?usp=sharing</t>
  </si>
  <si>
    <t>NABIN ROY</t>
  </si>
  <si>
    <t>DLMNZD</t>
  </si>
  <si>
    <t>https://drive.google.com/file/d/1QxmAL6UNYY8Dy2SmTGfkxjxyJLNQQT_g/view?usp=sharing</t>
  </si>
  <si>
    <t>https://drive.google.com/file/d/1pZab0fETz7L6rYawNb94GnmXEc9M1E8o/view?usp=share_link</t>
  </si>
  <si>
    <t>https://drive.google.com/file/d/1j-CR_XJtybDeFqUFwYoykT03aDQDJcRv/view?usp=sharing</t>
  </si>
  <si>
    <t>UTTAM KUMAR ROY II</t>
  </si>
  <si>
    <t>AJQBJT</t>
  </si>
  <si>
    <t>https://drive.google.com/file/d/1z1vH7mRT3ruUg0W6XIMFYhvgvy6bxvZr/view?usp=sharing</t>
  </si>
  <si>
    <t>https://drive.google.com/file/d/1B708mZFC4ivb1Jg43qr6yHiKrWQgIJ8q/view?usp=sharing</t>
  </si>
  <si>
    <t>https://drive.google.com/file/d/1XTn3X5WgNTLeiuuDt8b9IQhTSEi8H_UB/view?usp=sharing</t>
  </si>
  <si>
    <t>ASHIM KUTI</t>
  </si>
  <si>
    <t>DUXQDY</t>
  </si>
  <si>
    <t>https://drive.google.com/file/d/1n0O4jcJW5mLGlq2j28MrBzncWfYzGf5i/view?usp=sharing</t>
  </si>
  <si>
    <t>https://drive.google.com/file/d/1vvFNZ7NjJGTHovst5zDQr_n9u0yuBNOv/view?usp=sharing</t>
  </si>
  <si>
    <t>https://drive.google.com/file/d/1dUaqg6j2LAoh2cG-HV86qfQSElFDP4K0/view?usp=sharing</t>
  </si>
  <si>
    <t>RUP KUMAR BISWAS</t>
  </si>
  <si>
    <t>LQREJM</t>
  </si>
  <si>
    <t>https://drive.google.com/file/d/1gE0VhJ51SDxUfj2Vc5Ty4UM3NEoVotL0/view?usp=sharing</t>
  </si>
  <si>
    <t>https://drive.google.com/file/d/1mdcnXvRxNHr8I_DfSFAgy4v_oONcRWJ9/view?usp=sharing</t>
  </si>
  <si>
    <t>https://drive.google.com/file/d/1rbyMOZwZgGk7Jq7urL6t0aoAYYwH1TGf/view?usp=sharing</t>
  </si>
  <si>
    <t>TANMAY MANDALII</t>
  </si>
  <si>
    <t>SLQLQH</t>
  </si>
  <si>
    <t>https://drive.google.com/file/d/16xh_PH6qaOIE_Eckrh0ShdRsnpzdEuIH/view?usp=sharing</t>
  </si>
  <si>
    <t>https://drive.google.com/file/d/1UV4-RFvSK2hOm-iGBnJSbfnxPCqRzD66/view?usp=sharing</t>
  </si>
  <si>
    <t>RAM PRASAD MANDAL</t>
  </si>
  <si>
    <t>XYTDPT</t>
  </si>
  <si>
    <t>https://drive.google.com/file/d/1iEnLf77x7g6Avpi-O2R6zuUXEdRnmQEL/view?usp=sharing</t>
  </si>
  <si>
    <t>https://drive.google.com/file/d/121A-3JU18s0TFzuKE3deCoF5m5xopWPQ/view?usp=sharing</t>
  </si>
  <si>
    <t>PRITAM CHOWDHURY</t>
  </si>
  <si>
    <t>PDHPCA</t>
  </si>
  <si>
    <t>https://drive.google.com/file/d/1FejSbLHEZF0mExphlh8qoDqlMbFpS1cx/view?usp=sharing</t>
  </si>
  <si>
    <t>https://drive.google.com/file/d/1g9himpoPsnythH8JumA685YQjlqfPSE9/view?usp=share_link</t>
  </si>
  <si>
    <t>APURBA RAY</t>
  </si>
  <si>
    <t>BGQJOT</t>
  </si>
  <si>
    <t>https://drive.google.com/file/d/1iiR1uYKa-fEgrtUeZN-pR5k6Ndd6UaSB/view?usp=sharing</t>
  </si>
  <si>
    <t>https://drive.google.com/file/d/1bSdkzIV-SEwnpNhpD-XkkXS3L34jxLzT/view?usp=share_link</t>
  </si>
  <si>
    <t>TAPAS BISWAS IV</t>
  </si>
  <si>
    <t>GTEEDN</t>
  </si>
  <si>
    <t>https://drive.google.com/file/d/1IuS6WT1Da927khNRxO9AFyuGO51vLzjx/view?usp=sharing</t>
  </si>
  <si>
    <t>https://drive.google.com/file/d/1NzbxlEZ8eDLWDtBHSHtjp1DjQP8hBV_m/view?usp=sharing</t>
  </si>
  <si>
    <t>BIPLAB KUMAR DUTTA II</t>
  </si>
  <si>
    <t>YFLPFN</t>
  </si>
  <si>
    <t>https://drive.google.com/file/d/1g9GCJnbUNVw5fsYg54vsLKp01vMoXbqJ/view?usp=sharing</t>
  </si>
  <si>
    <t>https://drive.google.com/file/d/1EjiXSat70l10whAEfPkI8Wx7hfCwe89n/view?usp=sharing</t>
  </si>
  <si>
    <t>DIPAK DEBNATH</t>
  </si>
  <si>
    <t>TFMYUH</t>
  </si>
  <si>
    <t>TAMOJIT NANDY</t>
  </si>
  <si>
    <t>https://drive.google.com/file/d/1BsLl-mCfDq38dD5OmBL7DHBgmELloWBi/view?usp=sharing</t>
  </si>
  <si>
    <t>https://drive.google.com/file/d/1O1w-mnszHQQrS9WCIexnDLvKxQgSJlm_/view?usp=sharing</t>
  </si>
  <si>
    <t>BISWANATH DAS I</t>
  </si>
  <si>
    <t>MJAFUM</t>
  </si>
  <si>
    <t>https://drive.google.com/file/d/1G3qbVjAmVdeDdPSSbU6r3moR6LO9NahR/view?usp=sharing</t>
  </si>
  <si>
    <t>https://drive.google.com/file/d/1Z4Fj3Fx7grpFG1YUnvLJ43L18GqNLh0K/view?usp=sharing</t>
  </si>
  <si>
    <t>https://drive.google.com/file/d/10ntwIwr-BcOVERw8ZD6nvdm-KAOaUpjD/view?usp=sharing</t>
  </si>
  <si>
    <t>SANJAY KUMAR KARMAKER</t>
  </si>
  <si>
    <t>OSKAEM</t>
  </si>
  <si>
    <t>https://drive.google.com/file/d/1WpNn_x32HlWjaZN2Nvn-hp6pHfrEJLio/view?usp=sharing</t>
  </si>
  <si>
    <t>02/12/2015(F) &amp; 07/10/2020(F)</t>
  </si>
  <si>
    <t>NOT SUITABLE</t>
  </si>
  <si>
    <t>https://drive.google.com/file/d/1peJufRoMdj3gMsPnXvg2hwApc8-rB4U7/view?usp=sharing</t>
  </si>
  <si>
    <t>KOUSHIK DAS</t>
  </si>
  <si>
    <t>53162131077</t>
  </si>
  <si>
    <t>OUKMPN</t>
  </si>
  <si>
    <t>https://drive.google.com/file/d/15KieSYHFXJ5vJ7jpaHNtLO-VYPxx547e/view?usp=sharing</t>
  </si>
  <si>
    <t>https://drive.google.com/file/d/1QAMJG9DFgOZ1SGNDZtQGAB97q808ZSd1/view?usp=sharing</t>
  </si>
  <si>
    <t>MD ABRAR</t>
  </si>
  <si>
    <t>3429801813</t>
  </si>
  <si>
    <t>EXGQEG</t>
  </si>
  <si>
    <t>R K SABHERWAL</t>
  </si>
  <si>
    <t>https://drive.google.com/file/d/1AS37uIMPYqQ1lI5s0WLPlTCUNLTbErrH/view?usp=sharing</t>
  </si>
  <si>
    <t>https://drive.google.com/file/d/1N-pPxykQA5WnHC3v3tjhThSwmo5epHDX/view?usp=sharing</t>
  </si>
  <si>
    <t>SOMEN DAS</t>
  </si>
  <si>
    <t>53162131097</t>
  </si>
  <si>
    <t>STAGQO</t>
  </si>
  <si>
    <t>https://drive.google.com/file/d/11mVOqMvgUT2t45ft0uKAh3qfrZv0TWkP/view?usp=sharing</t>
  </si>
  <si>
    <t>Suprabhat Sikder</t>
  </si>
  <si>
    <t>ALP</t>
  </si>
  <si>
    <t>LWBGUL</t>
  </si>
  <si>
    <t>https://drive.google.com/file/d/1HN09K_DBmWW1cxHr5Otqf9PBq2qLA3Kf/view?usp=sharing</t>
  </si>
  <si>
    <t>ANANDA KARMAKAR</t>
  </si>
  <si>
    <t>FBNENM</t>
  </si>
  <si>
    <t>PRASANTA DAS</t>
  </si>
  <si>
    <t>TCLQZL</t>
  </si>
  <si>
    <t>https://drive.google.com/file/d/17x6qSz4PZ7lUmdwffl_OI2bVQejlQB20/view?usp=share_link</t>
  </si>
  <si>
    <t>SUKHEN DATTA</t>
  </si>
  <si>
    <t>BLRYRR</t>
  </si>
  <si>
    <t>https://drive.google.com/file/d/1UN5rGArc5JasPu7yv4eecyrfckl_AWtV/view?usp=drive_link</t>
  </si>
  <si>
    <t>BIKASH PODDAR</t>
  </si>
  <si>
    <t>MWDAZW</t>
  </si>
  <si>
    <t>https://drive.google.com/file/d/15Go5M8Lgno9vPVXyjlBZI0rceaYnfb5a/view?usp=drive_link</t>
  </si>
  <si>
    <t>SUBHASISH PAUL</t>
  </si>
  <si>
    <t>RCDGBR</t>
  </si>
  <si>
    <t>https://drive.google.com/file/d/1dRaTPm9mMFeg4aZnQwPwI9Qj7e2KFRDQ/view?usp=drive_link</t>
  </si>
  <si>
    <t>SUROJIT CHAKRABORTY</t>
  </si>
  <si>
    <t>MAAWUB</t>
  </si>
  <si>
    <t>PRANAB KUMAR KUSHARI</t>
  </si>
  <si>
    <t>YDFURZ</t>
  </si>
  <si>
    <t>SUBRATA SAHA</t>
  </si>
  <si>
    <t>SANTOSH ANAND</t>
  </si>
  <si>
    <t>BSUXEJ</t>
  </si>
  <si>
    <t>https://drive.google.com/file/d/1zmu48abMwEXPgCJ0_JjduA7Pz6Rbr4A2/view?usp=sharing</t>
  </si>
  <si>
    <t>https://drive.google.com/file/d/1_LqdlmmQdk1svFGWrKghzz4fAzCYXBlq/view?usp=share_link</t>
  </si>
  <si>
    <t>https://drive.google.com/file/d/1gm9WPiNUVncx0WjEGjyLtwYDJ6rJBcuu/view?usp=sharing</t>
  </si>
  <si>
    <t>Basudev Das</t>
  </si>
  <si>
    <t>OQODHU</t>
  </si>
  <si>
    <t>Mayuresh Das</t>
  </si>
  <si>
    <t>QAKZBK</t>
  </si>
  <si>
    <t>https://drive.google.com/file/d/1ANht9slXlxLd2riM_R3OWNB2ziC845aJ/view?usp=sharing</t>
  </si>
  <si>
    <t>Gouranga Kundu</t>
  </si>
  <si>
    <t>3329805585</t>
  </si>
  <si>
    <t>IEHWBE</t>
  </si>
  <si>
    <t>https://drive.google.com/file/d/18R90Oovf6oy4uKHTMh1pHA8yhFcNjau1/view?usp=sharing</t>
  </si>
  <si>
    <t>Sudipta Upadhyay</t>
  </si>
  <si>
    <t>HEPLUA</t>
  </si>
  <si>
    <t>https://drive.google.com/file/d/1MAfgPls-d4uEv4HEXSlrZRhvj20nvwTd/view?usp=sharing</t>
  </si>
  <si>
    <t>Arindam Paul</t>
  </si>
  <si>
    <t>IFOEJK</t>
  </si>
  <si>
    <t>https://drive.google.com/file/d/1x4rYSEnBajO5gX9XgTXUxaReC2SSQ4lG/view?usp=sharing</t>
  </si>
  <si>
    <t>Nilratan Roy</t>
  </si>
  <si>
    <t>3729802303</t>
  </si>
  <si>
    <t>KSIPDB</t>
  </si>
  <si>
    <t>https://drive.google.com/file/d/1myJKwEe_e7K8KkQaWu0EOJOSJRoQQgP1/view?usp=sharing</t>
  </si>
  <si>
    <t>Milton Biswas</t>
  </si>
  <si>
    <t>B M Kalundia</t>
  </si>
  <si>
    <t>https://drive.google.com/file/d/1G3GW9lkl3rIq7WuEBKqAAThGw8-8zSl1/view?usp=sharing</t>
  </si>
  <si>
    <t>Suman Sardar(Temp from NH)</t>
  </si>
  <si>
    <t>https://drive.google.com/file/d/13m6KCAVeWhjTa-S4lLFEOZbKA2tOAKMa/view?usp=sharing</t>
  </si>
  <si>
    <t>Laxman Chandra Debnath(Temp from NH)</t>
  </si>
  <si>
    <t>https://drive.google.com/file/d/1reEQDJFPk65lVBclmlipuJsHIjNRSjMc/view?usp=sharing</t>
  </si>
  <si>
    <t>Ashim Mondal(Temp from NH)</t>
  </si>
  <si>
    <t>https://drive.google.com/file/d/17wbMEC9rkVLTnLS_q6GiDntVLRJMf0Im/view?usp=sharing</t>
  </si>
  <si>
    <t>Rajkumar Mondal(Temp from NH)</t>
  </si>
  <si>
    <t>https://drive.google.com/file/d/1FE7jQbMCzDfpHk2xi4KXThQPhOV0m6-e/view?usp=sharing</t>
  </si>
  <si>
    <t>RUPESH KUMAR</t>
  </si>
  <si>
    <t>ZBXFHT</t>
  </si>
  <si>
    <t>https://drive.google.com/file/d/1u3py8igviXweywH6CLVpJR2J41PfG_Eq/view?usp=sharing</t>
  </si>
  <si>
    <t>Gautam Saha</t>
  </si>
  <si>
    <t>3729801660</t>
  </si>
  <si>
    <t>UTNZTS</t>
  </si>
  <si>
    <t>https://drive.google.com/file/d/1tjxpK-7Mt0ZoJ2IFZy-6Mh7KcUdBJ1TG/view?usp=sharing</t>
  </si>
  <si>
    <t>Sabuj Dhali</t>
  </si>
  <si>
    <t>3729802347</t>
  </si>
  <si>
    <t>PLDAKC</t>
  </si>
  <si>
    <t>https://drive.google.com/file/d/1w3xSqo_TSuabRVhb7uzwsnFavstziD62/view?usp=sharing</t>
  </si>
  <si>
    <t>BIVAS DAS</t>
  </si>
  <si>
    <t>EWLXJI</t>
  </si>
</sst>
</file>

<file path=xl/styles.xml><?xml version="1.0" encoding="utf-8"?>
<styleSheet xmlns="http://schemas.openxmlformats.org/spreadsheetml/2006/main">
  <numFmts count="1">
    <numFmt numFmtId="164" formatCode="d/m/yyyy"/>
  </numFmts>
  <fonts count="49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3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2"/>
      <color theme="1"/>
      <name val="Calibri"/>
      <scheme val="minor"/>
    </font>
    <font>
      <sz val="11"/>
      <color rgb="FF000000"/>
      <name val="Calibri"/>
      <scheme val="minor"/>
    </font>
    <font>
      <sz val="10"/>
      <color rgb="FF000000"/>
      <name val="Calibri"/>
      <scheme val="minor"/>
    </font>
    <font>
      <sz val="12"/>
      <color rgb="FF000000"/>
      <name val="Calibri"/>
    </font>
    <font>
      <sz val="14"/>
      <color theme="1"/>
      <name val="Calibri"/>
      <scheme val="minor"/>
    </font>
    <font>
      <u/>
      <sz val="11"/>
      <color rgb="FF0000FF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0"/>
      <color rgb="FF000000"/>
      <name val="Calibri"/>
    </font>
    <font>
      <sz val="11"/>
      <color rgb="FF000000"/>
      <name val="Inconsolata"/>
    </font>
    <font>
      <sz val="14"/>
      <color rgb="FF000000"/>
      <name val="Calibri"/>
    </font>
    <font>
      <sz val="10"/>
      <color rgb="FF5A5A5A"/>
      <name val="Calibri"/>
    </font>
    <font>
      <sz val="11"/>
      <color theme="1"/>
      <name val="Arial"/>
    </font>
    <font>
      <sz val="10"/>
      <color rgb="FF0E233D"/>
      <name val="Calibri"/>
    </font>
    <font>
      <sz val="10"/>
      <color rgb="FF333333"/>
      <name val="Roboto"/>
    </font>
    <font>
      <sz val="11"/>
      <color rgb="FF000000"/>
      <name val="Arial"/>
    </font>
    <font>
      <sz val="11"/>
      <color rgb="FFFFFFFF"/>
      <name val="Calibri"/>
      <scheme val="minor"/>
    </font>
    <font>
      <sz val="11"/>
      <color rgb="FF536C79"/>
      <name val="-apple-system"/>
    </font>
    <font>
      <sz val="10"/>
      <color rgb="FF000000"/>
      <name val="Arial"/>
    </font>
    <font>
      <sz val="11"/>
      <color rgb="FF000000"/>
      <name val="&quot;Times New Roman&quot;"/>
    </font>
    <font>
      <u/>
      <sz val="11"/>
      <color rgb="FF000000"/>
      <name val="Calibri"/>
    </font>
    <font>
      <sz val="10"/>
      <color theme="1"/>
      <name val="Arial"/>
    </font>
    <font>
      <u/>
      <sz val="11"/>
      <color theme="1"/>
      <name val="Calibri"/>
    </font>
    <font>
      <sz val="11"/>
      <color rgb="FF000000"/>
      <name val="-apple-system"/>
    </font>
    <font>
      <sz val="11"/>
      <color rgb="FF000000"/>
      <name val="Times New Roman"/>
    </font>
    <font>
      <sz val="9"/>
      <color rgb="FF333333"/>
      <name val="Roboto"/>
    </font>
    <font>
      <sz val="11"/>
      <color rgb="FF000000"/>
      <name val="&quot;Arial Narrow&quot;"/>
    </font>
    <font>
      <sz val="10"/>
      <color rgb="FF000000"/>
      <name val="Verdana"/>
    </font>
    <font>
      <sz val="9"/>
      <color rgb="FF000000"/>
      <name val="Verdana"/>
    </font>
    <font>
      <sz val="11"/>
      <color rgb="FF000000"/>
      <name val="Roboto"/>
    </font>
    <font>
      <u/>
      <sz val="11"/>
      <color rgb="FF1155CC"/>
      <name val="Calibri"/>
    </font>
    <font>
      <sz val="11"/>
      <color theme="1"/>
      <name val="Times New Roman"/>
    </font>
    <font>
      <sz val="12"/>
      <color theme="1"/>
      <name val="&quot;Arial Narrow&quot;"/>
    </font>
    <font>
      <sz val="11"/>
      <color theme="1"/>
      <name val="&quot;Arial Narrow&quot;"/>
    </font>
    <font>
      <sz val="10"/>
      <color rgb="FF000000"/>
      <name val="Cambria"/>
    </font>
    <font>
      <sz val="10"/>
      <color theme="1"/>
      <name val="&quot;Arial Narrow&quot;"/>
    </font>
    <font>
      <sz val="10"/>
      <color rgb="FF000000"/>
      <name val="-apple-system"/>
    </font>
    <font>
      <sz val="11"/>
      <color theme="1"/>
      <name val="&quot;Times New Roman&quot;"/>
    </font>
    <font>
      <sz val="12"/>
      <color rgb="FF000000"/>
      <name val="&quot;Arial Narrow&quot;"/>
    </font>
    <font>
      <sz val="14"/>
      <color theme="1"/>
      <name val="Calibri"/>
    </font>
    <font>
      <sz val="10"/>
      <color rgb="FF000000"/>
      <name val="Roboto"/>
    </font>
    <font>
      <u/>
      <sz val="11"/>
      <color rgb="FF0000FF"/>
      <name val="Calibri"/>
      <scheme val="minor"/>
    </font>
    <font>
      <u/>
      <sz val="11"/>
      <color rgb="FF1155CC"/>
      <name val="Calibri"/>
      <scheme val="minor"/>
    </font>
    <font>
      <sz val="10"/>
      <color theme="1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ECECEC"/>
        <bgColor rgb="FFECECEC"/>
      </patternFill>
    </fill>
    <fill>
      <patternFill patternType="solid">
        <fgColor rgb="FF7030A0"/>
        <bgColor rgb="FF7030A0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ECF0F5"/>
        <bgColor rgb="FFECF0F5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EEEEEE"/>
        <bgColor rgb="FFEEEEE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/>
    <xf numFmtId="0" fontId="4" fillId="0" borderId="0" xfId="0" applyFont="1"/>
    <xf numFmtId="0" fontId="0" fillId="0" borderId="0" xfId="0" applyFont="1" applyAlignment="1"/>
    <xf numFmtId="0" fontId="4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1" fontId="7" fillId="4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/>
    <xf numFmtId="0" fontId="9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/>
    </xf>
    <xf numFmtId="0" fontId="0" fillId="0" borderId="1" xfId="0" applyFont="1" applyBorder="1" applyAlignment="1"/>
    <xf numFmtId="0" fontId="10" fillId="0" borderId="1" xfId="0" applyFont="1" applyBorder="1" applyAlignment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2" fillId="3" borderId="1" xfId="0" applyFont="1" applyFill="1" applyBorder="1" applyAlignment="1">
      <alignment horizontal="left" wrapText="1"/>
    </xf>
    <xf numFmtId="1" fontId="13" fillId="4" borderId="1" xfId="0" applyNumberFormat="1" applyFont="1" applyFill="1" applyBorder="1" applyAlignment="1">
      <alignment horizontal="center"/>
    </xf>
    <xf numFmtId="0" fontId="11" fillId="0" borderId="1" xfId="0" applyFont="1" applyBorder="1" applyAlignment="1"/>
    <xf numFmtId="14" fontId="12" fillId="0" borderId="1" xfId="0" applyNumberFormat="1" applyFont="1" applyBorder="1" applyAlignment="1">
      <alignment horizontal="center"/>
    </xf>
    <xf numFmtId="14" fontId="6" fillId="3" borderId="1" xfId="0" applyNumberFormat="1" applyFont="1" applyFill="1" applyBorder="1" applyAlignment="1">
      <alignment horizontal="center"/>
    </xf>
    <xf numFmtId="0" fontId="14" fillId="4" borderId="1" xfId="0" applyFont="1" applyFill="1" applyBorder="1"/>
    <xf numFmtId="0" fontId="1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/>
    <xf numFmtId="0" fontId="4" fillId="0" borderId="0" xfId="0" applyFont="1" applyAlignment="1"/>
    <xf numFmtId="1" fontId="7" fillId="0" borderId="1" xfId="0" applyNumberFormat="1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/>
    <xf numFmtId="0" fontId="4" fillId="3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left" wrapText="1"/>
    </xf>
    <xf numFmtId="0" fontId="14" fillId="4" borderId="0" xfId="0" applyFont="1" applyFill="1"/>
    <xf numFmtId="0" fontId="12" fillId="0" borderId="0" xfId="0" applyFont="1"/>
    <xf numFmtId="0" fontId="18" fillId="0" borderId="1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19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" fontId="13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6" fillId="3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21" fillId="7" borderId="1" xfId="0" applyFont="1" applyFill="1" applyBorder="1" applyAlignment="1">
      <alignment horizontal="center" wrapText="1"/>
    </xf>
    <xf numFmtId="0" fontId="22" fillId="8" borderId="1" xfId="0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14" fontId="12" fillId="0" borderId="1" xfId="0" applyNumberFormat="1" applyFont="1" applyBorder="1"/>
    <xf numFmtId="14" fontId="24" fillId="0" borderId="1" xfId="0" applyNumberFormat="1" applyFont="1" applyBorder="1" applyAlignment="1">
      <alignment horizontal="center"/>
    </xf>
    <xf numFmtId="0" fontId="25" fillId="0" borderId="1" xfId="0" applyFont="1" applyBorder="1" applyAlignment="1"/>
    <xf numFmtId="0" fontId="12" fillId="0" borderId="1" xfId="0" applyFont="1" applyBorder="1"/>
    <xf numFmtId="0" fontId="26" fillId="0" borderId="1" xfId="0" applyFont="1" applyBorder="1" applyAlignment="1">
      <alignment horizontal="center" wrapText="1"/>
    </xf>
    <xf numFmtId="0" fontId="27" fillId="0" borderId="1" xfId="0" applyFont="1" applyBorder="1" applyAlignment="1"/>
    <xf numFmtId="0" fontId="4" fillId="4" borderId="1" xfId="0" applyFont="1" applyFill="1" applyBorder="1" applyAlignment="1">
      <alignment horizontal="center"/>
    </xf>
    <xf numFmtId="0" fontId="4" fillId="0" borderId="2" xfId="0" applyFont="1" applyBorder="1"/>
    <xf numFmtId="0" fontId="28" fillId="4" borderId="1" xfId="0" applyFont="1" applyFill="1" applyBorder="1" applyAlignment="1">
      <alignment horizontal="left"/>
    </xf>
    <xf numFmtId="1" fontId="12" fillId="0" borderId="1" xfId="0" applyNumberFormat="1" applyFont="1" applyBorder="1" applyAlignment="1">
      <alignment horizontal="center" wrapText="1"/>
    </xf>
    <xf numFmtId="1" fontId="23" fillId="0" borderId="1" xfId="0" applyNumberFormat="1" applyFont="1" applyBorder="1" applyAlignment="1">
      <alignment horizontal="center" wrapText="1"/>
    </xf>
    <xf numFmtId="14" fontId="29" fillId="0" borderId="1" xfId="0" applyNumberFormat="1" applyFont="1" applyBorder="1" applyAlignment="1">
      <alignment horizontal="center"/>
    </xf>
    <xf numFmtId="0" fontId="21" fillId="7" borderId="0" xfId="0" applyFont="1" applyFill="1" applyBorder="1" applyAlignment="1">
      <alignment horizontal="center" wrapText="1"/>
    </xf>
    <xf numFmtId="49" fontId="12" fillId="0" borderId="1" xfId="0" applyNumberFormat="1" applyFont="1" applyBorder="1" applyAlignment="1">
      <alignment horizontal="center" wrapText="1"/>
    </xf>
    <xf numFmtId="0" fontId="11" fillId="0" borderId="0" xfId="0" applyFont="1" applyAlignment="1"/>
    <xf numFmtId="0" fontId="27" fillId="0" borderId="0" xfId="0" applyFont="1" applyAlignment="1"/>
    <xf numFmtId="0" fontId="10" fillId="0" borderId="0" xfId="0" applyFont="1" applyAlignment="1"/>
    <xf numFmtId="0" fontId="21" fillId="11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13" fillId="0" borderId="1" xfId="0" applyFont="1" applyBorder="1" applyAlignment="1">
      <alignment horizontal="center"/>
    </xf>
    <xf numFmtId="0" fontId="5" fillId="0" borderId="1" xfId="0" applyFont="1" applyBorder="1" applyAlignment="1"/>
    <xf numFmtId="49" fontId="13" fillId="4" borderId="1" xfId="0" applyNumberFormat="1" applyFont="1" applyFill="1" applyBorder="1" applyAlignment="1">
      <alignment horizontal="center"/>
    </xf>
    <xf numFmtId="0" fontId="30" fillId="12" borderId="1" xfId="0" applyFont="1" applyFill="1" applyBorder="1"/>
    <xf numFmtId="0" fontId="31" fillId="0" borderId="1" xfId="0" applyFont="1" applyBorder="1" applyAlignment="1">
      <alignment horizontal="center"/>
    </xf>
    <xf numFmtId="0" fontId="6" fillId="0" borderId="0" xfId="0" applyFont="1"/>
    <xf numFmtId="1" fontId="32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6" fillId="0" borderId="1" xfId="0" applyFont="1" applyBorder="1" applyAlignment="1"/>
    <xf numFmtId="0" fontId="34" fillId="0" borderId="1" xfId="0" applyFont="1" applyBorder="1" applyAlignment="1"/>
    <xf numFmtId="1" fontId="23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35" fillId="0" borderId="1" xfId="0" applyFont="1" applyBorder="1" applyAlignment="1"/>
    <xf numFmtId="0" fontId="4" fillId="11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1" fontId="26" fillId="0" borderId="1" xfId="0" applyNumberFormat="1" applyFont="1" applyBorder="1" applyAlignment="1">
      <alignment horizontal="center"/>
    </xf>
    <xf numFmtId="14" fontId="36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vertical="top"/>
    </xf>
    <xf numFmtId="0" fontId="2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wrapText="1"/>
    </xf>
    <xf numFmtId="49" fontId="23" fillId="0" borderId="1" xfId="0" applyNumberFormat="1" applyFont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wrapText="1"/>
    </xf>
    <xf numFmtId="14" fontId="12" fillId="0" borderId="1" xfId="0" applyNumberFormat="1" applyFont="1" applyBorder="1" applyAlignment="1"/>
    <xf numFmtId="0" fontId="13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1" fillId="15" borderId="1" xfId="0" applyFont="1" applyFill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0" borderId="0" xfId="0" applyFont="1" applyAlignment="1">
      <alignment wrapText="1"/>
    </xf>
    <xf numFmtId="49" fontId="26" fillId="0" borderId="1" xfId="0" applyNumberFormat="1" applyFont="1" applyBorder="1" applyAlignment="1">
      <alignment horizontal="center"/>
    </xf>
    <xf numFmtId="0" fontId="12" fillId="13" borderId="0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8" fillId="0" borderId="1" xfId="0" applyFont="1" applyBorder="1" applyAlignment="1">
      <alignment horizontal="left" vertical="top"/>
    </xf>
    <xf numFmtId="49" fontId="38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wrapText="1"/>
    </xf>
    <xf numFmtId="0" fontId="12" fillId="11" borderId="1" xfId="0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41" fillId="4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14" fontId="42" fillId="0" borderId="1" xfId="0" applyNumberFormat="1" applyFont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center"/>
    </xf>
    <xf numFmtId="1" fontId="23" fillId="16" borderId="1" xfId="0" applyNumberFormat="1" applyFont="1" applyFill="1" applyBorder="1" applyAlignment="1">
      <alignment horizontal="center"/>
    </xf>
    <xf numFmtId="0" fontId="0" fillId="16" borderId="1" xfId="0" applyFont="1" applyFill="1" applyBorder="1" applyAlignment="1">
      <alignment horizontal="center" wrapText="1"/>
    </xf>
    <xf numFmtId="0" fontId="4" fillId="16" borderId="1" xfId="0" applyFont="1" applyFill="1" applyBorder="1" applyAlignment="1">
      <alignment wrapText="1"/>
    </xf>
    <xf numFmtId="0" fontId="4" fillId="16" borderId="1" xfId="0" applyFont="1" applyFill="1" applyBorder="1" applyAlignment="1">
      <alignment horizontal="center" wrapText="1"/>
    </xf>
    <xf numFmtId="0" fontId="43" fillId="16" borderId="1" xfId="0" applyFont="1" applyFill="1" applyBorder="1" applyAlignment="1">
      <alignment horizontal="center"/>
    </xf>
    <xf numFmtId="14" fontId="12" fillId="16" borderId="1" xfId="0" applyNumberFormat="1" applyFont="1" applyFill="1" applyBorder="1" applyAlignment="1">
      <alignment horizontal="center"/>
    </xf>
    <xf numFmtId="14" fontId="29" fillId="16" borderId="1" xfId="0" applyNumberFormat="1" applyFont="1" applyFill="1" applyBorder="1" applyAlignment="1">
      <alignment horizontal="center"/>
    </xf>
    <xf numFmtId="0" fontId="10" fillId="16" borderId="1" xfId="0" applyFont="1" applyFill="1" applyBorder="1" applyAlignment="1"/>
    <xf numFmtId="0" fontId="11" fillId="16" borderId="1" xfId="0" applyFont="1" applyFill="1" applyBorder="1" applyAlignment="1"/>
    <xf numFmtId="0" fontId="0" fillId="16" borderId="1" xfId="0" applyFont="1" applyFill="1" applyBorder="1" applyAlignment="1"/>
    <xf numFmtId="0" fontId="11" fillId="16" borderId="1" xfId="0" applyFont="1" applyFill="1" applyBorder="1"/>
    <xf numFmtId="0" fontId="10" fillId="16" borderId="0" xfId="0" applyFont="1" applyFill="1" applyAlignment="1">
      <alignment wrapText="1"/>
    </xf>
    <xf numFmtId="0" fontId="11" fillId="16" borderId="0" xfId="0" applyFont="1" applyFill="1"/>
    <xf numFmtId="0" fontId="44" fillId="0" borderId="1" xfId="0" applyFont="1" applyBorder="1" applyAlignment="1">
      <alignment horizontal="left"/>
    </xf>
    <xf numFmtId="0" fontId="44" fillId="0" borderId="1" xfId="0" applyFont="1" applyBorder="1" applyAlignment="1">
      <alignment horizontal="center"/>
    </xf>
    <xf numFmtId="164" fontId="11" fillId="0" borderId="1" xfId="0" applyNumberFormat="1" applyFont="1" applyBorder="1" applyAlignment="1"/>
    <xf numFmtId="0" fontId="10" fillId="0" borderId="1" xfId="0" applyFont="1" applyBorder="1" applyAlignment="1">
      <alignment wrapText="1"/>
    </xf>
    <xf numFmtId="49" fontId="44" fillId="0" borderId="1" xfId="0" applyNumberFormat="1" applyFont="1" applyBorder="1" applyAlignment="1">
      <alignment horizontal="left"/>
    </xf>
    <xf numFmtId="0" fontId="45" fillId="6" borderId="1" xfId="0" applyFont="1" applyFill="1" applyBorder="1" applyAlignment="1">
      <alignment horizontal="center"/>
    </xf>
    <xf numFmtId="1" fontId="44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20" fillId="0" borderId="1" xfId="0" applyFont="1" applyBorder="1" applyAlignment="1"/>
    <xf numFmtId="49" fontId="20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14" fontId="4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" fontId="28" fillId="4" borderId="1" xfId="0" applyNumberFormat="1" applyFont="1" applyFill="1" applyBorder="1" applyAlignment="1">
      <alignment horizontal="left"/>
    </xf>
    <xf numFmtId="0" fontId="28" fillId="4" borderId="0" xfId="0" applyFont="1" applyFill="1" applyAlignment="1">
      <alignment horizontal="left"/>
    </xf>
    <xf numFmtId="14" fontId="12" fillId="3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3" fillId="4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0" fontId="4" fillId="3" borderId="1" xfId="0" applyFont="1" applyFill="1" applyBorder="1" applyAlignment="1"/>
    <xf numFmtId="1" fontId="16" fillId="4" borderId="1" xfId="0" applyNumberFormat="1" applyFont="1" applyFill="1" applyBorder="1" applyAlignment="1">
      <alignment horizontal="center"/>
    </xf>
    <xf numFmtId="0" fontId="8" fillId="0" borderId="1" xfId="0" applyFont="1" applyBorder="1" applyAlignment="1"/>
    <xf numFmtId="14" fontId="4" fillId="3" borderId="1" xfId="0" applyNumberFormat="1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 wrapText="1"/>
    </xf>
    <xf numFmtId="1" fontId="13" fillId="17" borderId="1" xfId="0" applyNumberFormat="1" applyFont="1" applyFill="1" applyBorder="1" applyAlignment="1">
      <alignment horizontal="center" wrapText="1"/>
    </xf>
    <xf numFmtId="14" fontId="12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6" fillId="3" borderId="1" xfId="0" applyFont="1" applyFill="1" applyBorder="1" applyAlignment="1"/>
    <xf numFmtId="1" fontId="40" fillId="0" borderId="1" xfId="0" applyNumberFormat="1" applyFont="1" applyBorder="1" applyAlignment="1">
      <alignment horizontal="center"/>
    </xf>
    <xf numFmtId="0" fontId="38" fillId="3" borderId="1" xfId="0" applyFont="1" applyFill="1" applyBorder="1" applyAlignment="1">
      <alignment horizontal="left" vertical="top"/>
    </xf>
    <xf numFmtId="1" fontId="40" fillId="0" borderId="1" xfId="0" applyNumberFormat="1" applyFont="1" applyBorder="1" applyAlignment="1">
      <alignment horizontal="center" vertical="top"/>
    </xf>
    <xf numFmtId="0" fontId="46" fillId="0" borderId="1" xfId="0" applyFont="1" applyBorder="1" applyAlignment="1"/>
    <xf numFmtId="0" fontId="47" fillId="0" borderId="1" xfId="0" applyFont="1" applyBorder="1" applyAlignment="1"/>
    <xf numFmtId="0" fontId="48" fillId="0" borderId="1" xfId="0" applyFont="1" applyBorder="1" applyAlignment="1">
      <alignment horizontal="center"/>
    </xf>
    <xf numFmtId="0" fontId="0" fillId="0" borderId="1" xfId="0" applyFont="1" applyBorder="1"/>
    <xf numFmtId="0" fontId="48" fillId="0" borderId="0" xfId="0" applyFont="1" applyAlignment="1">
      <alignment horizontal="center"/>
    </xf>
    <xf numFmtId="0" fontId="11" fillId="3" borderId="0" xfId="0" applyFont="1" applyFill="1"/>
  </cellXfs>
  <cellStyles count="1">
    <cellStyle name="Normal" xfId="0" builtinId="0"/>
  </cellStyles>
  <dxfs count="516"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v4FxZENicFVgiLyQYh8lR5D_R2naxWZV/view?usp=drive_link" TargetMode="External"/><Relationship Id="rId21" Type="http://schemas.openxmlformats.org/officeDocument/2006/relationships/hyperlink" Target="https://drive.google.com/file/d/1YswL8SLWIwuXwjECCl-DyIXtZdyPtQx7/view?usp=sharing" TargetMode="External"/><Relationship Id="rId42" Type="http://schemas.openxmlformats.org/officeDocument/2006/relationships/hyperlink" Target="https://drive.google.com/file/d/1zT-z-KaMLFXlfk_XJgH8ciw-Vi0Dtc55/view?usp=sharing" TargetMode="External"/><Relationship Id="rId63" Type="http://schemas.openxmlformats.org/officeDocument/2006/relationships/hyperlink" Target="https://drive.google.com/file/d/1A4aSoaQ3glzT1S2AWMEsjdk1rmU5g5hp/view?usp=sharing" TargetMode="External"/><Relationship Id="rId84" Type="http://schemas.openxmlformats.org/officeDocument/2006/relationships/hyperlink" Target="https://drive.google.com/file/d/1pw4HG-LxOIsstoYOHEVkoCeo2d_t6ESM/view?usp=sharing" TargetMode="External"/><Relationship Id="rId138" Type="http://schemas.openxmlformats.org/officeDocument/2006/relationships/hyperlink" Target="https://drive.google.com/file/d/18TshnJABVXeTKzDrHYy81gTsn_eFd4AV/view?usp=sharing" TargetMode="External"/><Relationship Id="rId159" Type="http://schemas.openxmlformats.org/officeDocument/2006/relationships/hyperlink" Target="https://drive.google.com/file/d/1vvFNZ7NjJGTHovst5zDQr_n9u0yuBNOv/view?usp=sharing" TargetMode="External"/><Relationship Id="rId170" Type="http://schemas.openxmlformats.org/officeDocument/2006/relationships/hyperlink" Target="https://drive.google.com/file/d/1iiR1uYKa-fEgrtUeZN-pR5k6Ndd6UaSB/view?usp=sharing" TargetMode="External"/><Relationship Id="rId191" Type="http://schemas.openxmlformats.org/officeDocument/2006/relationships/hyperlink" Target="https://drive.google.com/file/d/15Go5M8Lgno9vPVXyjlBZI0rceaYnfb5a/view?usp=drive_link" TargetMode="External"/><Relationship Id="rId205" Type="http://schemas.openxmlformats.org/officeDocument/2006/relationships/hyperlink" Target="https://drive.google.com/file/d/1FE7jQbMCzDfpHk2xi4KXThQPhOV0m6-e/view?usp=sharing" TargetMode="External"/><Relationship Id="rId16" Type="http://schemas.openxmlformats.org/officeDocument/2006/relationships/hyperlink" Target="https://drive.google.com/file/d/1b34tKZ-PgAG0f0kNFlkHtNHw92goCSgM/view?usp=sharing" TargetMode="External"/><Relationship Id="rId107" Type="http://schemas.openxmlformats.org/officeDocument/2006/relationships/hyperlink" Target="https://drive.google.com/file/d/1NgRcgjY93QJgbFp4uKu6uHlhUg01-gqA/view?usp=sharing" TargetMode="External"/><Relationship Id="rId11" Type="http://schemas.openxmlformats.org/officeDocument/2006/relationships/hyperlink" Target="https://drive.google.com/file/d/1Rg-501st9V8-e8rwRk8ueZ6jVfbl0xEg/view?usp=sharing" TargetMode="External"/><Relationship Id="rId32" Type="http://schemas.openxmlformats.org/officeDocument/2006/relationships/hyperlink" Target="https://drive.google.com/file/d/1KBQfPEHnKYlfxe-UIR-u5yoQKZvHNbQP/view?usp=sharing" TargetMode="External"/><Relationship Id="rId37" Type="http://schemas.openxmlformats.org/officeDocument/2006/relationships/hyperlink" Target="https://drive.google.com/file/d/1daOugPVIwPE3KyCyRP_mDEPH-fYQqB0O/view?usp=sharing" TargetMode="External"/><Relationship Id="rId53" Type="http://schemas.openxmlformats.org/officeDocument/2006/relationships/hyperlink" Target="https://drive.google.com/file/d/1A3Gz1uejPVo1puxbZGKEHcI_BxjyL1Sf/view?usp=sharing" TargetMode="External"/><Relationship Id="rId58" Type="http://schemas.openxmlformats.org/officeDocument/2006/relationships/hyperlink" Target="https://drive.google.com/file/d/125KctaNyMCuoAtWL94bCHlukiuzc2VZq/view?usp=sharing" TargetMode="External"/><Relationship Id="rId74" Type="http://schemas.openxmlformats.org/officeDocument/2006/relationships/hyperlink" Target="https://drive.google.com/file/d/1aSf2SY2K9qQ6HJRkUIuTX7hoXyKz7bmK/view?usp=sharing" TargetMode="External"/><Relationship Id="rId79" Type="http://schemas.openxmlformats.org/officeDocument/2006/relationships/hyperlink" Target="https://drive.google.com/file/d/1EWf-akM7VqdIkSSxVOQtIKY7Mp0v-AOb/view?usp=sharing" TargetMode="External"/><Relationship Id="rId102" Type="http://schemas.openxmlformats.org/officeDocument/2006/relationships/hyperlink" Target="https://drive.google.com/file/d/1stz06WESKGoVERAe-4-5GfxRlEGQMqRn/view?usp=sharing" TargetMode="External"/><Relationship Id="rId123" Type="http://schemas.openxmlformats.org/officeDocument/2006/relationships/hyperlink" Target="https://drive.google.com/file/d/1KCM5r3AVKB6WgWxTo5UAssTBlq-G9Med/view?usp=sharing" TargetMode="External"/><Relationship Id="rId128" Type="http://schemas.openxmlformats.org/officeDocument/2006/relationships/hyperlink" Target="https://drive.google.com/file/d/1kEaAAMYcKwVwWYlu9ZqMx8E11AnEn1vh/view?usp=sharing" TargetMode="External"/><Relationship Id="rId144" Type="http://schemas.openxmlformats.org/officeDocument/2006/relationships/hyperlink" Target="https://drive.google.com/file/d/1iNivXCXppNYfR3Ta7K8O-x_lSPLQe5fK/view?usp=share_link" TargetMode="External"/><Relationship Id="rId149" Type="http://schemas.openxmlformats.org/officeDocument/2006/relationships/hyperlink" Target="https://drive.google.com/file/d/1D5SWgh_MEJ78kdhwlRU31AzBNethbAhY/view?usp=sharing" TargetMode="External"/><Relationship Id="rId5" Type="http://schemas.openxmlformats.org/officeDocument/2006/relationships/hyperlink" Target="https://drive.google.com/file/d/1jTUR2cXXbaCYySdi54zOFUdkb58Qdhs3/view?usp=sharing" TargetMode="External"/><Relationship Id="rId90" Type="http://schemas.openxmlformats.org/officeDocument/2006/relationships/hyperlink" Target="https://drive.google.com/file/d/15vd5gSoJc_RRIZHAssy25IfSkLN4yqqR/view?usp=sharing" TargetMode="External"/><Relationship Id="rId95" Type="http://schemas.openxmlformats.org/officeDocument/2006/relationships/hyperlink" Target="https://drive.google.com/file/d/1vptRImG9cgLgYBENvjgzVxjuuFs0vbVB/view?usp=sharing" TargetMode="External"/><Relationship Id="rId160" Type="http://schemas.openxmlformats.org/officeDocument/2006/relationships/hyperlink" Target="https://drive.google.com/file/d/1dUaqg6j2LAoh2cG-HV86qfQSElFDP4K0/view?usp=sharing" TargetMode="External"/><Relationship Id="rId165" Type="http://schemas.openxmlformats.org/officeDocument/2006/relationships/hyperlink" Target="https://drive.google.com/file/d/1UV4-RFvSK2hOm-iGBnJSbfnxPCqRzD66/view?usp=sharing" TargetMode="External"/><Relationship Id="rId181" Type="http://schemas.openxmlformats.org/officeDocument/2006/relationships/hyperlink" Target="https://drive.google.com/file/d/1WpNn_x32HlWjaZN2Nvn-hp6pHfrEJLio/view?usp=sharing" TargetMode="External"/><Relationship Id="rId186" Type="http://schemas.openxmlformats.org/officeDocument/2006/relationships/hyperlink" Target="https://drive.google.com/file/d/1N-pPxykQA5WnHC3v3tjhThSwmo5epHDX/view?usp=sharing" TargetMode="External"/><Relationship Id="rId22" Type="http://schemas.openxmlformats.org/officeDocument/2006/relationships/hyperlink" Target="https://drive.google.com/file/d/15WzuE_fMzA5Y6vC5xNol5p1NegToiINN/view?usp=sharing" TargetMode="External"/><Relationship Id="rId27" Type="http://schemas.openxmlformats.org/officeDocument/2006/relationships/hyperlink" Target="https://drive.google.com/file/d/1fu36Kz3aBGoa-QGM7Nd9f-G3aAI7lMQT/view?usp=sharing" TargetMode="External"/><Relationship Id="rId43" Type="http://schemas.openxmlformats.org/officeDocument/2006/relationships/hyperlink" Target="https://drive.google.com/file/d/1kxLNsnl9DccCSJpTixC55h6lW7dXeZuy/view?usp=sharing" TargetMode="External"/><Relationship Id="rId48" Type="http://schemas.openxmlformats.org/officeDocument/2006/relationships/hyperlink" Target="https://drive.google.com/file/d/1WNI_p8ubw6QiHUyR6Wi4owlP-eSum2to/view?usp=share_link" TargetMode="External"/><Relationship Id="rId64" Type="http://schemas.openxmlformats.org/officeDocument/2006/relationships/hyperlink" Target="https://drive.google.com/file/d/1GJcKWTHBcsAO4WRff4bWUJCH01xTfYE2/view?usp=sharing" TargetMode="External"/><Relationship Id="rId69" Type="http://schemas.openxmlformats.org/officeDocument/2006/relationships/hyperlink" Target="https://drive.google.com/file/d/1AJV92cZQxw8UkYCe7WUqsXpfaQlCGjxl/view?usp=sharing" TargetMode="External"/><Relationship Id="rId113" Type="http://schemas.openxmlformats.org/officeDocument/2006/relationships/hyperlink" Target="https://drive.google.com/file/d/18XWbsSvYJnXintQRV6yDMUe1bBNknHWn/view?usp=sharing" TargetMode="External"/><Relationship Id="rId118" Type="http://schemas.openxmlformats.org/officeDocument/2006/relationships/hyperlink" Target="https://drive.google.com/file/d/128-h_bhJOxzH1qO89hBZufsFblFhtSJt/view?usp=sharing" TargetMode="External"/><Relationship Id="rId134" Type="http://schemas.openxmlformats.org/officeDocument/2006/relationships/hyperlink" Target="https://drive.google.com/file/d/1yARkzFW613CNiOIb_bYcTFxuyaiB0cvE/view?usp=share_link" TargetMode="External"/><Relationship Id="rId139" Type="http://schemas.openxmlformats.org/officeDocument/2006/relationships/hyperlink" Target="https://drive.google.com/file/d/1ZlNzKYmJrnsFzg_A01R6pf_2bFpG6iw3/view?usp=drive_link" TargetMode="External"/><Relationship Id="rId80" Type="http://schemas.openxmlformats.org/officeDocument/2006/relationships/hyperlink" Target="https://drive.google.com/file/d/1KkdzvArbvHN22IqEGkltGpVbHGDf-q89/view?usp=sharing" TargetMode="External"/><Relationship Id="rId85" Type="http://schemas.openxmlformats.org/officeDocument/2006/relationships/hyperlink" Target="https://drive.google.com/file/d/1YBqrfiJ9LWH2Mt47o9NxAWOvY9E4zyKz/view?usp=sharing" TargetMode="External"/><Relationship Id="rId150" Type="http://schemas.openxmlformats.org/officeDocument/2006/relationships/hyperlink" Target="https://drive.google.com/file/d/1iOm0l-CrM-ZTXoq9XFJeq7xw6cZFPg2x/view?usp=sharing" TargetMode="External"/><Relationship Id="rId155" Type="http://schemas.openxmlformats.org/officeDocument/2006/relationships/hyperlink" Target="https://drive.google.com/file/d/1z1vH7mRT3ruUg0W6XIMFYhvgvy6bxvZr/view?usp=sharing" TargetMode="External"/><Relationship Id="rId171" Type="http://schemas.openxmlformats.org/officeDocument/2006/relationships/hyperlink" Target="https://drive.google.com/file/d/1bSdkzIV-SEwnpNhpD-XkkXS3L34jxLzT/view?usp=share_link" TargetMode="External"/><Relationship Id="rId176" Type="http://schemas.openxmlformats.org/officeDocument/2006/relationships/hyperlink" Target="https://drive.google.com/file/d/1BsLl-mCfDq38dD5OmBL7DHBgmELloWBi/view?usp=sharing" TargetMode="External"/><Relationship Id="rId192" Type="http://schemas.openxmlformats.org/officeDocument/2006/relationships/hyperlink" Target="https://drive.google.com/file/d/1dRaTPm9mMFeg4aZnQwPwI9Qj7e2KFRDQ/view?usp=drive_link" TargetMode="External"/><Relationship Id="rId197" Type="http://schemas.openxmlformats.org/officeDocument/2006/relationships/hyperlink" Target="https://drive.google.com/file/d/18R90Oovf6oy4uKHTMh1pHA8yhFcNjau1/view?usp=sharing" TargetMode="External"/><Relationship Id="rId206" Type="http://schemas.openxmlformats.org/officeDocument/2006/relationships/hyperlink" Target="https://drive.google.com/file/d/1u3py8igviXweywH6CLVpJR2J41PfG_Eq/view?usp=sharing" TargetMode="External"/><Relationship Id="rId201" Type="http://schemas.openxmlformats.org/officeDocument/2006/relationships/hyperlink" Target="https://drive.google.com/file/d/1G3GW9lkl3rIq7WuEBKqAAThGw8-8zSl1/view?usp=sharing" TargetMode="External"/><Relationship Id="rId12" Type="http://schemas.openxmlformats.org/officeDocument/2006/relationships/hyperlink" Target="https://drive.google.com/file/d/1mtuShwoHDx7vL1xJ02nOQdU55gdQlAhT/view?usp=sharing" TargetMode="External"/><Relationship Id="rId17" Type="http://schemas.openxmlformats.org/officeDocument/2006/relationships/hyperlink" Target="https://drive.google.com/file/d/1UTLfvVGfCrJ7j03wrEkB4-nIUqb_ElF2/view?usp=sharing" TargetMode="External"/><Relationship Id="rId33" Type="http://schemas.openxmlformats.org/officeDocument/2006/relationships/hyperlink" Target="https://drive.google.com/file/d/1brOBKIFMNqaOzG5PTJUBio3Ef-A5JkMb/view?usp=sharing" TargetMode="External"/><Relationship Id="rId38" Type="http://schemas.openxmlformats.org/officeDocument/2006/relationships/hyperlink" Target="https://drive.google.com/file/d/1TEINDG-RswNAzJ7FZGpB1iqfArHCsMmd/view?usp=sharing" TargetMode="External"/><Relationship Id="rId59" Type="http://schemas.openxmlformats.org/officeDocument/2006/relationships/hyperlink" Target="https://drive.google.com/file/d/1UXHW3Uj0z-hvZnq_jaS0bNKUaq4JmOTo/view?usp=sharing" TargetMode="External"/><Relationship Id="rId103" Type="http://schemas.openxmlformats.org/officeDocument/2006/relationships/hyperlink" Target="https://drive.google.com/file/d/1D5SWgh_MEJ78kdhwlRU31AzBNethbAhY/view?usp=sharing" TargetMode="External"/><Relationship Id="rId108" Type="http://schemas.openxmlformats.org/officeDocument/2006/relationships/hyperlink" Target="https://drive.google.com/file/d/1W_45KyJ_lcrXL9LTz7fDfYd5NYF4-bpi/view?usp=sharing" TargetMode="External"/><Relationship Id="rId124" Type="http://schemas.openxmlformats.org/officeDocument/2006/relationships/hyperlink" Target="https://drive.google.com/file/d/1zNDr9I0dsv0XqQJZqV6o4p4xFgp_g9ei/view?usp=sharing" TargetMode="External"/><Relationship Id="rId129" Type="http://schemas.openxmlformats.org/officeDocument/2006/relationships/hyperlink" Target="https://drive.google.com/file/d/1OOJ_Am5m01lEl45U2kGZVEJy8idB8xVi/view?usp=sharing" TargetMode="External"/><Relationship Id="rId54" Type="http://schemas.openxmlformats.org/officeDocument/2006/relationships/hyperlink" Target="https://drive.google.com/file/d/1Tier8JBcDFGCU7y3uqJf4_QFOI7hi2hE/view?usp=sharing" TargetMode="External"/><Relationship Id="rId70" Type="http://schemas.openxmlformats.org/officeDocument/2006/relationships/hyperlink" Target="https://drive.google.com/file/d/1VixUob79HEnt2fKGLbPtanp_wEScVjL_/view?usp=sharing" TargetMode="External"/><Relationship Id="rId75" Type="http://schemas.openxmlformats.org/officeDocument/2006/relationships/hyperlink" Target="https://drive.google.com/file/d/1SWFrYbClfVdra-n3oFx1P1TyH4SF0zya/view?usp=sharing" TargetMode="External"/><Relationship Id="rId91" Type="http://schemas.openxmlformats.org/officeDocument/2006/relationships/hyperlink" Target="https://drive.google.com/file/d/11vp8rtsIMSxWpj58rGY8JjDKtoZbdCrB/view?usp=sharing" TargetMode="External"/><Relationship Id="rId96" Type="http://schemas.openxmlformats.org/officeDocument/2006/relationships/hyperlink" Target="https://drive.google.com/file/d/1JCgDBp03pO9_at0iGm9uNBEgtBPX4bGI/view?usp=sharing" TargetMode="External"/><Relationship Id="rId140" Type="http://schemas.openxmlformats.org/officeDocument/2006/relationships/hyperlink" Target="https://drive.google.com/file/d/1zHuoem5Dre_AyzUS3ncrBBmdsUfdNEUz/view?usp=sharing" TargetMode="External"/><Relationship Id="rId145" Type="http://schemas.openxmlformats.org/officeDocument/2006/relationships/hyperlink" Target="https://drive.google.com/file/d/13pUOBGlrPKyQFfzNMMiODjmUQjYWCKVp/view?usp=sharing" TargetMode="External"/><Relationship Id="rId161" Type="http://schemas.openxmlformats.org/officeDocument/2006/relationships/hyperlink" Target="https://drive.google.com/file/d/1gE0VhJ51SDxUfj2Vc5Ty4UM3NEoVotL0/view?usp=sharing" TargetMode="External"/><Relationship Id="rId166" Type="http://schemas.openxmlformats.org/officeDocument/2006/relationships/hyperlink" Target="https://drive.google.com/file/d/1iEnLf77x7g6Avpi-O2R6zuUXEdRnmQEL/view?usp=sharing" TargetMode="External"/><Relationship Id="rId182" Type="http://schemas.openxmlformats.org/officeDocument/2006/relationships/hyperlink" Target="https://drive.google.com/file/d/1peJufRoMdj3gMsPnXvg2hwApc8-rB4U7/view?usp=sharing" TargetMode="External"/><Relationship Id="rId187" Type="http://schemas.openxmlformats.org/officeDocument/2006/relationships/hyperlink" Target="https://drive.google.com/file/d/11mVOqMvgUT2t45ft0uKAh3qfrZv0TWkP/view?usp=sharing" TargetMode="External"/><Relationship Id="rId1" Type="http://schemas.openxmlformats.org/officeDocument/2006/relationships/hyperlink" Target="https://drive.google.com/file/d/1Y0_H9uaKWayZRw8m7qGE89dRSzdt2YAY/view?usp=sharing" TargetMode="External"/><Relationship Id="rId6" Type="http://schemas.openxmlformats.org/officeDocument/2006/relationships/hyperlink" Target="https://drive.google.com/file/d/1caK9x3Uzybu4JpnAfO4KRpj6HwbF7Ikc/view?usp=sharing" TargetMode="External"/><Relationship Id="rId23" Type="http://schemas.openxmlformats.org/officeDocument/2006/relationships/hyperlink" Target="https://drive.google.com/file/d/1IKyVg0tOBXn4tbHAQKQZMipfgY3ZA1XV/view?usp=sharing" TargetMode="External"/><Relationship Id="rId28" Type="http://schemas.openxmlformats.org/officeDocument/2006/relationships/hyperlink" Target="https://drive.google.com/file/d/1PZkYqWV7BQdXyVFc5KMfFgfzMTUkX720/view?usp=sharing" TargetMode="External"/><Relationship Id="rId49" Type="http://schemas.openxmlformats.org/officeDocument/2006/relationships/hyperlink" Target="https://drive.google.com/file/d/1ihdwba0vV4i8uOkSsIXFWq8oxenIqQNV/view?usp=sharing" TargetMode="External"/><Relationship Id="rId114" Type="http://schemas.openxmlformats.org/officeDocument/2006/relationships/hyperlink" Target="https://drive.google.com/file/d/1SWFivIkd0zotLL_ffOrlTMdIS3RjZLoK/view?usp=sharing" TargetMode="External"/><Relationship Id="rId119" Type="http://schemas.openxmlformats.org/officeDocument/2006/relationships/hyperlink" Target="https://drive.google.com/file/d/1oCNzvCp-GIT3onWvyojKSY8_EZhw0p2V/view?usp=sharing" TargetMode="External"/><Relationship Id="rId44" Type="http://schemas.openxmlformats.org/officeDocument/2006/relationships/hyperlink" Target="https://drive.google.com/file/d/1V5wzj_RnzVAlQoLGobiJvSkTO1YUvMau/view?usp=sharing" TargetMode="External"/><Relationship Id="rId60" Type="http://schemas.openxmlformats.org/officeDocument/2006/relationships/hyperlink" Target="https://drive.google.com/file/d/1k0dbDDt4xzuC1ocFrOVcN1osN3RV9fU_/view?usp=sharing" TargetMode="External"/><Relationship Id="rId65" Type="http://schemas.openxmlformats.org/officeDocument/2006/relationships/hyperlink" Target="https://drive.google.com/file/d/1WtbbmTDQD3Jccf1bHisfSW6J5ydNIw-f/view?usp=sharing" TargetMode="External"/><Relationship Id="rId81" Type="http://schemas.openxmlformats.org/officeDocument/2006/relationships/hyperlink" Target="https://drive.google.com/file/d/19qWunNes0jLA6pxgP_buQSPtNGARAePN/view?usp=sharing" TargetMode="External"/><Relationship Id="rId86" Type="http://schemas.openxmlformats.org/officeDocument/2006/relationships/hyperlink" Target="https://drive.google.com/file/d/1YBqrfiJ9LWH2Mt47o9NxAWOvY9E4zyKz/view?usp=sharing" TargetMode="External"/><Relationship Id="rId130" Type="http://schemas.openxmlformats.org/officeDocument/2006/relationships/hyperlink" Target="https://drive.google.com/file/d/1nF-7m40URqrfCjUtJlpuGYv13FKmOmrN/view?usp=share_link" TargetMode="External"/><Relationship Id="rId135" Type="http://schemas.openxmlformats.org/officeDocument/2006/relationships/hyperlink" Target="https://drive.google.com/file/d/1YYyq57g6AZpGefsn89-poS74HCRhEFIE/view?usp=sharing" TargetMode="External"/><Relationship Id="rId151" Type="http://schemas.openxmlformats.org/officeDocument/2006/relationships/hyperlink" Target="https://drive.google.com/file/d/1IOGGxYzEJ2KkcFNs1r7FSpbxgA5QOrsj/view?usp=sharing" TargetMode="External"/><Relationship Id="rId156" Type="http://schemas.openxmlformats.org/officeDocument/2006/relationships/hyperlink" Target="https://drive.google.com/file/d/1B708mZFC4ivb1Jg43qr6yHiKrWQgIJ8q/view?usp=sharing" TargetMode="External"/><Relationship Id="rId177" Type="http://schemas.openxmlformats.org/officeDocument/2006/relationships/hyperlink" Target="https://drive.google.com/file/d/1O1w-mnszHQQrS9WCIexnDLvKxQgSJlm_/view?usp=sharing" TargetMode="External"/><Relationship Id="rId198" Type="http://schemas.openxmlformats.org/officeDocument/2006/relationships/hyperlink" Target="https://drive.google.com/file/d/1MAfgPls-d4uEv4HEXSlrZRhvj20nvwTd/view?usp=sharing" TargetMode="External"/><Relationship Id="rId172" Type="http://schemas.openxmlformats.org/officeDocument/2006/relationships/hyperlink" Target="https://drive.google.com/file/d/1IuS6WT1Da927khNRxO9AFyuGO51vLzjx/view?usp=sharing" TargetMode="External"/><Relationship Id="rId193" Type="http://schemas.openxmlformats.org/officeDocument/2006/relationships/hyperlink" Target="https://drive.google.com/file/d/1zmu48abMwEXPgCJ0_JjduA7Pz6Rbr4A2/view?usp=sharing" TargetMode="External"/><Relationship Id="rId202" Type="http://schemas.openxmlformats.org/officeDocument/2006/relationships/hyperlink" Target="https://drive.google.com/file/d/13m6KCAVeWhjTa-S4lLFEOZbKA2tOAKMa/view?usp=sharing" TargetMode="External"/><Relationship Id="rId207" Type="http://schemas.openxmlformats.org/officeDocument/2006/relationships/hyperlink" Target="https://drive.google.com/file/d/1tjxpK-7Mt0ZoJ2IFZy-6Mh7KcUdBJ1TG/view?usp=sharing" TargetMode="External"/><Relationship Id="rId13" Type="http://schemas.openxmlformats.org/officeDocument/2006/relationships/hyperlink" Target="https://drive.google.com/file/d/1MozAYeDlun-rR3_Gv6UX9OhnY_sSvNib/view?usp=sharing" TargetMode="External"/><Relationship Id="rId18" Type="http://schemas.openxmlformats.org/officeDocument/2006/relationships/hyperlink" Target="https://drive.google.com/file/d/1setVsJUnsICkoLuz6FLKbA1ucy4Krauz/view?usp=sharing" TargetMode="External"/><Relationship Id="rId39" Type="http://schemas.openxmlformats.org/officeDocument/2006/relationships/hyperlink" Target="https://drive.google.com/file/d/1Td8_mB_zPL2_zNGhUWCsQg4gNE810811/view?usp=sharing" TargetMode="External"/><Relationship Id="rId109" Type="http://schemas.openxmlformats.org/officeDocument/2006/relationships/hyperlink" Target="https://drive.google.com/file/d/1q2rPi-5eotoqBWoYu8IWUrubnM1vqgO1/view?usp=sharing" TargetMode="External"/><Relationship Id="rId34" Type="http://schemas.openxmlformats.org/officeDocument/2006/relationships/hyperlink" Target="https://drive.google.com/file/d/16ADv97c9fmrFtfCLdy0BoipYohBGR1nb/view?usp=sharing" TargetMode="External"/><Relationship Id="rId50" Type="http://schemas.openxmlformats.org/officeDocument/2006/relationships/hyperlink" Target="https://drive.google.com/file/d/1H-SrETzCpTS5f2WAh-OP2fEbsR9iQOhZ/view?usp=sharing" TargetMode="External"/><Relationship Id="rId55" Type="http://schemas.openxmlformats.org/officeDocument/2006/relationships/hyperlink" Target="https://drive.google.com/file/d/1nhKCxWbg925xUp27IYsS2BaJjG2vJi_3/view?usp=sharing" TargetMode="External"/><Relationship Id="rId76" Type="http://schemas.openxmlformats.org/officeDocument/2006/relationships/hyperlink" Target="https://drive.google.com/file/d/1rf1HLUFnRntiIOINUQmdc4D2_31F6F9u/view?usp=sharing" TargetMode="External"/><Relationship Id="rId97" Type="http://schemas.openxmlformats.org/officeDocument/2006/relationships/hyperlink" Target="https://drive.google.com/file/d/1XJmO-AzcLtgQdIwApkiTIEI8VqoBFYZJ/view?usp=sharing" TargetMode="External"/><Relationship Id="rId104" Type="http://schemas.openxmlformats.org/officeDocument/2006/relationships/hyperlink" Target="https://drive.google.com/file/d/1AMnFyVDDYbXDKaBxQxP2G8N0ODA__wHY/view?usp=share_link" TargetMode="External"/><Relationship Id="rId120" Type="http://schemas.openxmlformats.org/officeDocument/2006/relationships/hyperlink" Target="https://drive.google.com/file/d/1K3anQkIAfN_ixFw8UmVttpYxb51Nak4e/view?usp=sharing" TargetMode="External"/><Relationship Id="rId125" Type="http://schemas.openxmlformats.org/officeDocument/2006/relationships/hyperlink" Target="https://drive.google.com/file/d/1TSewLM5OFJERXiq91sUfcnyXC9e4ggwJ/view?usp=sharing" TargetMode="External"/><Relationship Id="rId141" Type="http://schemas.openxmlformats.org/officeDocument/2006/relationships/hyperlink" Target="https://drive.google.com/file/d/1gmKkO_FdoRzXL3t82Qkcp7I5j9lBxIqU/view?usp=sharing" TargetMode="External"/><Relationship Id="rId146" Type="http://schemas.openxmlformats.org/officeDocument/2006/relationships/hyperlink" Target="https://drive.google.com/file/d/1e5aFjOkpM4ppENKcvczUcrQOHvXNP2u2/view?usp=sharing" TargetMode="External"/><Relationship Id="rId167" Type="http://schemas.openxmlformats.org/officeDocument/2006/relationships/hyperlink" Target="https://drive.google.com/file/d/121A-3JU18s0TFzuKE3deCoF5m5xopWPQ/view?usp=sharing" TargetMode="External"/><Relationship Id="rId188" Type="http://schemas.openxmlformats.org/officeDocument/2006/relationships/hyperlink" Target="https://drive.google.com/file/d/1HN09K_DBmWW1cxHr5Otqf9PBq2qLA3Kf/view?usp=sharing" TargetMode="External"/><Relationship Id="rId7" Type="http://schemas.openxmlformats.org/officeDocument/2006/relationships/hyperlink" Target="https://drive.google.com/file/d/1GNZG5YFLf-HOrpVjtFcp2xj0mai_R-IV/view?usp=sharing" TargetMode="External"/><Relationship Id="rId71" Type="http://schemas.openxmlformats.org/officeDocument/2006/relationships/hyperlink" Target="https://drive.google.com/file/d/1ZE5oVEvNppCPJxXpf1d2iHIB4IRZ6aT5/view?usp=sharing" TargetMode="External"/><Relationship Id="rId92" Type="http://schemas.openxmlformats.org/officeDocument/2006/relationships/hyperlink" Target="https://drive.google.com/file/d/1DsGHhssuf-oyMk7wKenY5WLy5bk-OW8S/view?usp=sharing" TargetMode="External"/><Relationship Id="rId162" Type="http://schemas.openxmlformats.org/officeDocument/2006/relationships/hyperlink" Target="https://drive.google.com/file/d/1mdcnXvRxNHr8I_DfSFAgy4v_oONcRWJ9/view?usp=sharing" TargetMode="External"/><Relationship Id="rId183" Type="http://schemas.openxmlformats.org/officeDocument/2006/relationships/hyperlink" Target="https://drive.google.com/file/d/15KieSYHFXJ5vJ7jpaHNtLO-VYPxx547e/view?usp=sharing" TargetMode="External"/><Relationship Id="rId2" Type="http://schemas.openxmlformats.org/officeDocument/2006/relationships/hyperlink" Target="https://drive.google.com/file/d/1Z6V_FGJrcfgFHemPCVK4J7a9oCdM-u6U/view?usp=sharing" TargetMode="External"/><Relationship Id="rId29" Type="http://schemas.openxmlformats.org/officeDocument/2006/relationships/hyperlink" Target="https://drive.google.com/file/d/1lA9Gh5zREFmpS4XUY5970eOBXaY_9znP/view?usp=sharing" TargetMode="External"/><Relationship Id="rId24" Type="http://schemas.openxmlformats.org/officeDocument/2006/relationships/hyperlink" Target="https://drive.google.com/file/d/1K9D4f486tlru3ECtmVLHRtOG4CId_FU0/view?usp=sharing" TargetMode="External"/><Relationship Id="rId40" Type="http://schemas.openxmlformats.org/officeDocument/2006/relationships/hyperlink" Target="https://drive.google.com/file/d/1Wvq7EiTVSLL9HMZv6Fi_LcDwuwB7fOPe/view?usp=sharing" TargetMode="External"/><Relationship Id="rId45" Type="http://schemas.openxmlformats.org/officeDocument/2006/relationships/hyperlink" Target="https://drive.google.com/file/d/1Nq8vCNV-qpTF6K0S_bEWBs14A1J53iCK/view?usp=sharing" TargetMode="External"/><Relationship Id="rId66" Type="http://schemas.openxmlformats.org/officeDocument/2006/relationships/hyperlink" Target="https://drive.google.com/file/d/1jhfWakpIVORAQN_jOhYbvu0DO4s_WjQ4/view?usp=share_link" TargetMode="External"/><Relationship Id="rId87" Type="http://schemas.openxmlformats.org/officeDocument/2006/relationships/hyperlink" Target="https://drive.google.com/file/d/1MrmVKmMG5LOgTMBOh0uPovuxjJGxsuAL/view?usp=sharing" TargetMode="External"/><Relationship Id="rId110" Type="http://schemas.openxmlformats.org/officeDocument/2006/relationships/hyperlink" Target="https://drive.google.com/file/d/12rqcLhEM3cvdbHHnwAHDfk8Q1nboJ9zs/view?usp=share_link" TargetMode="External"/><Relationship Id="rId115" Type="http://schemas.openxmlformats.org/officeDocument/2006/relationships/hyperlink" Target="https://drive.google.com/file/d/1745q6dHhw3mmg_xZpvUEXe8ZqKwqs9pd/view?usp=drive_link" TargetMode="External"/><Relationship Id="rId131" Type="http://schemas.openxmlformats.org/officeDocument/2006/relationships/hyperlink" Target="https://drive.google.com/file/d/1InE49vEZVfFwc5xsdtb3ZRzOukDBwwFd/view?usp=sharing" TargetMode="External"/><Relationship Id="rId136" Type="http://schemas.openxmlformats.org/officeDocument/2006/relationships/hyperlink" Target="https://drive.google.com/file/d/17-9zkBJKeglK7nZlUjLJY70NLSw5bcuS/view?usp=sharing" TargetMode="External"/><Relationship Id="rId157" Type="http://schemas.openxmlformats.org/officeDocument/2006/relationships/hyperlink" Target="https://drive.google.com/file/d/1XTn3X5WgNTLeiuuDt8b9IQhTSEi8H_UB/view?usp=sharing" TargetMode="External"/><Relationship Id="rId178" Type="http://schemas.openxmlformats.org/officeDocument/2006/relationships/hyperlink" Target="https://drive.google.com/file/d/1G3qbVjAmVdeDdPSSbU6r3moR6LO9NahR/view?usp=sharing" TargetMode="External"/><Relationship Id="rId61" Type="http://schemas.openxmlformats.org/officeDocument/2006/relationships/hyperlink" Target="https://drive.google.com/file/d/1fmAixWbEvnD0imD7PznF4DdjbmNPPaV1/view?usp=sharing" TargetMode="External"/><Relationship Id="rId82" Type="http://schemas.openxmlformats.org/officeDocument/2006/relationships/hyperlink" Target="https://drive.google.com/file/d/1Kza304OyK-cm0-LCQjb4ZJTsMFPStxvL/view?usp=sharing" TargetMode="External"/><Relationship Id="rId152" Type="http://schemas.openxmlformats.org/officeDocument/2006/relationships/hyperlink" Target="https://drive.google.com/file/d/1QxmAL6UNYY8Dy2SmTGfkxjxyJLNQQT_g/view?usp=sharing" TargetMode="External"/><Relationship Id="rId173" Type="http://schemas.openxmlformats.org/officeDocument/2006/relationships/hyperlink" Target="https://drive.google.com/file/d/1NzbxlEZ8eDLWDtBHSHtjp1DjQP8hBV_m/view?usp=sharing" TargetMode="External"/><Relationship Id="rId194" Type="http://schemas.openxmlformats.org/officeDocument/2006/relationships/hyperlink" Target="https://drive.google.com/file/d/1_LqdlmmQdk1svFGWrKghzz4fAzCYXBlq/view?usp=share_link" TargetMode="External"/><Relationship Id="rId199" Type="http://schemas.openxmlformats.org/officeDocument/2006/relationships/hyperlink" Target="https://drive.google.com/file/d/1x4rYSEnBajO5gX9XgTXUxaReC2SSQ4lG/view?usp=sharing" TargetMode="External"/><Relationship Id="rId203" Type="http://schemas.openxmlformats.org/officeDocument/2006/relationships/hyperlink" Target="https://drive.google.com/file/d/1reEQDJFPk65lVBclmlipuJsHIjNRSjMc/view?usp=sharing" TargetMode="External"/><Relationship Id="rId208" Type="http://schemas.openxmlformats.org/officeDocument/2006/relationships/hyperlink" Target="https://drive.google.com/file/d/1w3xSqo_TSuabRVhb7uzwsnFavstziD62/view?usp=sharing" TargetMode="External"/><Relationship Id="rId19" Type="http://schemas.openxmlformats.org/officeDocument/2006/relationships/hyperlink" Target="https://drive.google.com/file/d/1BiFG0LOs1PokOHKlRkTLdHWwixPtxenN/view?usp=sharing" TargetMode="External"/><Relationship Id="rId14" Type="http://schemas.openxmlformats.org/officeDocument/2006/relationships/hyperlink" Target="https://drive.google.com/file/d/18yU-A8xwtp0UxccE3a5TTENaBttda2yT/view?usp=sharing" TargetMode="External"/><Relationship Id="rId30" Type="http://schemas.openxmlformats.org/officeDocument/2006/relationships/hyperlink" Target="https://drive.google.com/file/d/1Y7ZVDfc2EQMWUsqKrBkXULZobJVNoFVn/view?usp=sharing" TargetMode="External"/><Relationship Id="rId35" Type="http://schemas.openxmlformats.org/officeDocument/2006/relationships/hyperlink" Target="https://drive.google.com/file/d/10aStTgqhVBEB_7yWKYj16aUj-kRCwiO9/view?usp=sharing" TargetMode="External"/><Relationship Id="rId56" Type="http://schemas.openxmlformats.org/officeDocument/2006/relationships/hyperlink" Target="https://drive.google.com/file/d/1GgvCpAxk3r1zKrhRCizoWLKAwX5CB2To/view?usp=sharing" TargetMode="External"/><Relationship Id="rId77" Type="http://schemas.openxmlformats.org/officeDocument/2006/relationships/hyperlink" Target="https://drive.google.com/file/d/1KjneMx-85CvJwDrZpHoStONX-iQjAB90/view?usp=sharing" TargetMode="External"/><Relationship Id="rId100" Type="http://schemas.openxmlformats.org/officeDocument/2006/relationships/hyperlink" Target="https://drive.google.com/file/d/1aJPHq_jn7uFcs7bX7xewcLO9V9zF_9ek/view?usp=sharing" TargetMode="External"/><Relationship Id="rId105" Type="http://schemas.openxmlformats.org/officeDocument/2006/relationships/hyperlink" Target="https://drive.google.com/file/d/1RceXjA_mOtMXub845zPsZB5KVCOPyFf0/view?usp=sharing" TargetMode="External"/><Relationship Id="rId126" Type="http://schemas.openxmlformats.org/officeDocument/2006/relationships/hyperlink" Target="https://drive.google.com/file/d/1ZSwzAzr_9JCVweTAXYt25d5Iu75mJgSX/view?usp=sharing" TargetMode="External"/><Relationship Id="rId147" Type="http://schemas.openxmlformats.org/officeDocument/2006/relationships/hyperlink" Target="https://drive.google.com/file/d/1BXLkuNgFQ80bn4GMyeagcC6FvhTKdNO9/view?usp=sharing" TargetMode="External"/><Relationship Id="rId168" Type="http://schemas.openxmlformats.org/officeDocument/2006/relationships/hyperlink" Target="https://drive.google.com/file/d/1FejSbLHEZF0mExphlh8qoDqlMbFpS1cx/view?usp=sharing" TargetMode="External"/><Relationship Id="rId8" Type="http://schemas.openxmlformats.org/officeDocument/2006/relationships/hyperlink" Target="https://drive.google.com/file/d/1oiYZ-1xJGu_ra594xkRhqMVobTavaU-j/view?usp=drive_link" TargetMode="External"/><Relationship Id="rId51" Type="http://schemas.openxmlformats.org/officeDocument/2006/relationships/hyperlink" Target="https://drive.google.com/file/d/1V-9IaBa6MmZ1yUGFD7lAyzBQueh_tZDv/view?usp=sharing" TargetMode="External"/><Relationship Id="rId72" Type="http://schemas.openxmlformats.org/officeDocument/2006/relationships/hyperlink" Target="https://drive.google.com/file/d/1gssv4MPjGTaP6ftfxlMzoq4dJpCipq-Q/view?usp=sharing" TargetMode="External"/><Relationship Id="rId93" Type="http://schemas.openxmlformats.org/officeDocument/2006/relationships/hyperlink" Target="https://drive.google.com/file/d/1fpnSW3YZOCTmXxzqLc8VvKpuap377f-c/view?usp=sharing" TargetMode="External"/><Relationship Id="rId98" Type="http://schemas.openxmlformats.org/officeDocument/2006/relationships/hyperlink" Target="https://drive.google.com/file/d/1sksfFgpZWa3c-9o883OmZoyYBl738fe-/view?usp=share_link" TargetMode="External"/><Relationship Id="rId121" Type="http://schemas.openxmlformats.org/officeDocument/2006/relationships/hyperlink" Target="https://drive.google.com/file/d/1TlFll8hvw5ROJSfWu7FWXVTQlWVZ83--/view?usp=sharing" TargetMode="External"/><Relationship Id="rId142" Type="http://schemas.openxmlformats.org/officeDocument/2006/relationships/hyperlink" Target="https://drive.google.com/file/d/1mGcKd1rYYJcPQBPbCcPgrcFv7CrdhFGH/view?usp=sharing" TargetMode="External"/><Relationship Id="rId163" Type="http://schemas.openxmlformats.org/officeDocument/2006/relationships/hyperlink" Target="https://drive.google.com/file/d/1rbyMOZwZgGk7Jq7urL6t0aoAYYwH1TGf/view?usp=sharing" TargetMode="External"/><Relationship Id="rId184" Type="http://schemas.openxmlformats.org/officeDocument/2006/relationships/hyperlink" Target="https://drive.google.com/file/d/1QAMJG9DFgOZ1SGNDZtQGAB97q808ZSd1/view?usp=sharing" TargetMode="External"/><Relationship Id="rId189" Type="http://schemas.openxmlformats.org/officeDocument/2006/relationships/hyperlink" Target="https://drive.google.com/file/d/17x6qSz4PZ7lUmdwffl_OI2bVQejlQB20/view?usp=share_link" TargetMode="External"/><Relationship Id="rId3" Type="http://schemas.openxmlformats.org/officeDocument/2006/relationships/hyperlink" Target="https://drive.google.com/file/d/1nK4-5llhhx_6K_sZwaOm9GR1Tu3c6iM6/view?usp=sharing" TargetMode="External"/><Relationship Id="rId25" Type="http://schemas.openxmlformats.org/officeDocument/2006/relationships/hyperlink" Target="https://drive.google.com/file/d/1SgRpZeuXfObkFh73lIEgGr1oCu1HuSHV/view?usp=sharing" TargetMode="External"/><Relationship Id="rId46" Type="http://schemas.openxmlformats.org/officeDocument/2006/relationships/hyperlink" Target="https://drive.google.com/file/d/16XM084edeTVmeVyl21qkHARz9ehjHOVR/view?usp=sharing" TargetMode="External"/><Relationship Id="rId67" Type="http://schemas.openxmlformats.org/officeDocument/2006/relationships/hyperlink" Target="https://drive.google.com/file/d/10y0s2x0nFYLIDvkklvlwFGDiHLOLbokC/view?usp=sharing" TargetMode="External"/><Relationship Id="rId116" Type="http://schemas.openxmlformats.org/officeDocument/2006/relationships/hyperlink" Target="https://drive.google.com/file/d/1eMPc8ld3tscr4sD-mm4Qa31cy3ZoSFdu/view?usp=sharing" TargetMode="External"/><Relationship Id="rId137" Type="http://schemas.openxmlformats.org/officeDocument/2006/relationships/hyperlink" Target="https://drive.google.com/file/d/1a1aoHb8K74Nzvx1wmJrplunWt8QSQG84/view?usp=sharing" TargetMode="External"/><Relationship Id="rId158" Type="http://schemas.openxmlformats.org/officeDocument/2006/relationships/hyperlink" Target="https://drive.google.com/file/d/1n0O4jcJW5mLGlq2j28MrBzncWfYzGf5i/view?usp=sharing" TargetMode="External"/><Relationship Id="rId20" Type="http://schemas.openxmlformats.org/officeDocument/2006/relationships/hyperlink" Target="https://drive.google.com/file/d/18vqJq6otKepeNyclm96EoUjcFY2UucJE/view?usp=sharing" TargetMode="External"/><Relationship Id="rId41" Type="http://schemas.openxmlformats.org/officeDocument/2006/relationships/hyperlink" Target="https://drive.google.com/file/d/1x9tK0zWtcpSxUnDsrUzcAyNW0L8kS5BE/view?usp=sharing" TargetMode="External"/><Relationship Id="rId62" Type="http://schemas.openxmlformats.org/officeDocument/2006/relationships/hyperlink" Target="https://drive.google.com/file/d/1A4aSoaQ3glzT1S2AWMEsjdk1rmU5g5hp/view?usp=sharing" TargetMode="External"/><Relationship Id="rId83" Type="http://schemas.openxmlformats.org/officeDocument/2006/relationships/hyperlink" Target="https://drive.google.com/file/d/1kjmhHYV5qOGEwSKjJH2mS_MX3_ewl_3j/view?usp=share_link" TargetMode="External"/><Relationship Id="rId88" Type="http://schemas.openxmlformats.org/officeDocument/2006/relationships/hyperlink" Target="https://drive.google.com/file/d/1Ssiz5znj8ov9NMo68bOEyH9CkNibyDuW/view?usp=sharing" TargetMode="External"/><Relationship Id="rId111" Type="http://schemas.openxmlformats.org/officeDocument/2006/relationships/hyperlink" Target="https://drive.google.com/file/d/1QlH5Iro003OQOgzqGo58n0BAruNRsRNZ/view?usp=share_link" TargetMode="External"/><Relationship Id="rId132" Type="http://schemas.openxmlformats.org/officeDocument/2006/relationships/hyperlink" Target="https://drive.google.com/file/d/1q8ACKEaxbwav_3KyOcxGCA0m5Ew-tDLz/view?usp=sharing" TargetMode="External"/><Relationship Id="rId153" Type="http://schemas.openxmlformats.org/officeDocument/2006/relationships/hyperlink" Target="https://drive.google.com/file/d/1pZab0fETz7L6rYawNb94GnmXEc9M1E8o/view?usp=share_link" TargetMode="External"/><Relationship Id="rId174" Type="http://schemas.openxmlformats.org/officeDocument/2006/relationships/hyperlink" Target="https://drive.google.com/file/d/1g9GCJnbUNVw5fsYg54vsLKp01vMoXbqJ/view?usp=sharing" TargetMode="External"/><Relationship Id="rId179" Type="http://schemas.openxmlformats.org/officeDocument/2006/relationships/hyperlink" Target="https://drive.google.com/file/d/1Z4Fj3Fx7grpFG1YUnvLJ43L18GqNLh0K/view?usp=sharing" TargetMode="External"/><Relationship Id="rId195" Type="http://schemas.openxmlformats.org/officeDocument/2006/relationships/hyperlink" Target="https://drive.google.com/file/d/1gm9WPiNUVncx0WjEGjyLtwYDJ6rJBcuu/view?usp=sharing" TargetMode="External"/><Relationship Id="rId190" Type="http://schemas.openxmlformats.org/officeDocument/2006/relationships/hyperlink" Target="https://drive.google.com/file/d/1UN5rGArc5JasPu7yv4eecyrfckl_AWtV/view?usp=drive_link" TargetMode="External"/><Relationship Id="rId204" Type="http://schemas.openxmlformats.org/officeDocument/2006/relationships/hyperlink" Target="https://drive.google.com/file/d/17wbMEC9rkVLTnLS_q6GiDntVLRJMf0Im/view?usp=sharing" TargetMode="External"/><Relationship Id="rId15" Type="http://schemas.openxmlformats.org/officeDocument/2006/relationships/hyperlink" Target="https://drive.google.com/file/d/1xLYJz7zY6WYFXh4tSFoV1vXX3F0NxuLW/view?usp=sharing" TargetMode="External"/><Relationship Id="rId36" Type="http://schemas.openxmlformats.org/officeDocument/2006/relationships/hyperlink" Target="https://drive.google.com/file/d/1N3IX-89HnjhoZF54sEat6fepb_qysfcF/view?usp=sharing" TargetMode="External"/><Relationship Id="rId57" Type="http://schemas.openxmlformats.org/officeDocument/2006/relationships/hyperlink" Target="https://drive.google.com/file/d/1totpJ-FFkugI5OhOuYGrzpMKXu9pIBlv/view?usp=share_link" TargetMode="External"/><Relationship Id="rId106" Type="http://schemas.openxmlformats.org/officeDocument/2006/relationships/hyperlink" Target="https://drive.google.com/file/d/1GzT032FLgwncD0f48ppQhSiabwsTGyLF/view?usp=sharing" TargetMode="External"/><Relationship Id="rId127" Type="http://schemas.openxmlformats.org/officeDocument/2006/relationships/hyperlink" Target="https://drive.google.com/file/d/1zc_adf-oem0qN2P-kcnyED7ZyCAW4cAi/view?usp=sharing" TargetMode="External"/><Relationship Id="rId10" Type="http://schemas.openxmlformats.org/officeDocument/2006/relationships/hyperlink" Target="https://drive.google.com/file/d/1Z68T4QRLrE4Jb4AW9JKeDR9KTtieM91R/view?usp=sharing" TargetMode="External"/><Relationship Id="rId31" Type="http://schemas.openxmlformats.org/officeDocument/2006/relationships/hyperlink" Target="https://drive.google.com/file/d/1vBGTPebWf5fR4x12xFdaQI_eAjpa65VS/view?usp=sharing" TargetMode="External"/><Relationship Id="rId52" Type="http://schemas.openxmlformats.org/officeDocument/2006/relationships/hyperlink" Target="https://drive.google.com/file/d/1jwgkJbuxNYKuHpvja1Nw5MuTYMJb1URm/view?usp=sharing" TargetMode="External"/><Relationship Id="rId73" Type="http://schemas.openxmlformats.org/officeDocument/2006/relationships/hyperlink" Target="https://drive.google.com/file/d/1brG9ly1PjvhkgyYzFvA-IzcCjXaQ3NqJ/view?usp=sharing" TargetMode="External"/><Relationship Id="rId78" Type="http://schemas.openxmlformats.org/officeDocument/2006/relationships/hyperlink" Target="https://drive.google.com/file/d/1jZelQWppZKpYNQU4nMPOhbZqMM817oik/view?usp=sharing" TargetMode="External"/><Relationship Id="rId94" Type="http://schemas.openxmlformats.org/officeDocument/2006/relationships/hyperlink" Target="https://drive.google.com/file/d/1oQixQPaIuOg01ANrcieapwjMYxyHvE1J/view?usp=drive_link" TargetMode="External"/><Relationship Id="rId99" Type="http://schemas.openxmlformats.org/officeDocument/2006/relationships/hyperlink" Target="https://drive.google.com/file/d/1MUyM1TJzVJ6aiKWXvdwzNBhXZp-Xch_M/view?usp=sharing" TargetMode="External"/><Relationship Id="rId101" Type="http://schemas.openxmlformats.org/officeDocument/2006/relationships/hyperlink" Target="https://drive.google.com/file/d/18N0iCOAFY_4SIj0aqwJr01MB4-SP0AWg/view?usp=sharing" TargetMode="External"/><Relationship Id="rId122" Type="http://schemas.openxmlformats.org/officeDocument/2006/relationships/hyperlink" Target="https://drive.google.com/file/d/111KkP3YnIfMsGAX44OIqReL2jpBql0Q8/view?usp=sharing" TargetMode="External"/><Relationship Id="rId143" Type="http://schemas.openxmlformats.org/officeDocument/2006/relationships/hyperlink" Target="https://drive.google.com/file/d/176akyrYiyL0luEkDxezxdS3vAy2YaYG0/view?usp=sharing" TargetMode="External"/><Relationship Id="rId148" Type="http://schemas.openxmlformats.org/officeDocument/2006/relationships/hyperlink" Target="https://drive.google.com/file/d/1Bpr0SfcNiByf41GwtKTnus_DzbAhh86N/view?usp=sharing" TargetMode="External"/><Relationship Id="rId164" Type="http://schemas.openxmlformats.org/officeDocument/2006/relationships/hyperlink" Target="https://drive.google.com/file/d/16xh_PH6qaOIE_Eckrh0ShdRsnpzdEuIH/view?usp=sharing" TargetMode="External"/><Relationship Id="rId169" Type="http://schemas.openxmlformats.org/officeDocument/2006/relationships/hyperlink" Target="https://drive.google.com/file/d/1g9himpoPsnythH8JumA685YQjlqfPSE9/view?usp=share_link" TargetMode="External"/><Relationship Id="rId185" Type="http://schemas.openxmlformats.org/officeDocument/2006/relationships/hyperlink" Target="https://drive.google.com/file/d/1AS37uIMPYqQ1lI5s0WLPlTCUNLTbErrH/view?usp=sharing" TargetMode="External"/><Relationship Id="rId4" Type="http://schemas.openxmlformats.org/officeDocument/2006/relationships/hyperlink" Target="https://drive.google.com/file/d/1LjnbK2BtEM9rAy8Pyzx6QpCupoC1pnOa/view?usp=sharing" TargetMode="External"/><Relationship Id="rId9" Type="http://schemas.openxmlformats.org/officeDocument/2006/relationships/hyperlink" Target="https://drive.google.com/file/d/1Z68T4QRLrE4Jb4AW9JKeDR9KTtieM91R/view?usp=sharing" TargetMode="External"/><Relationship Id="rId180" Type="http://schemas.openxmlformats.org/officeDocument/2006/relationships/hyperlink" Target="https://drive.google.com/file/d/10ntwIwr-BcOVERw8ZD6nvdm-KAOaUpjD/view?usp=sharing" TargetMode="External"/><Relationship Id="rId26" Type="http://schemas.openxmlformats.org/officeDocument/2006/relationships/hyperlink" Target="https://drive.google.com/file/d/1TUwPfEFr2p-7YZHbP3hog_07PKo9dJNS/view?usp=sharing" TargetMode="External"/><Relationship Id="rId47" Type="http://schemas.openxmlformats.org/officeDocument/2006/relationships/hyperlink" Target="https://drive.google.com/file/d/1aieym6lrt1_RjZ7IIV78XX0B09vS-Fbl/view?usp=sharing" TargetMode="External"/><Relationship Id="rId68" Type="http://schemas.openxmlformats.org/officeDocument/2006/relationships/hyperlink" Target="https://drive.google.com/file/d/1ayA5EQ16c3pd6tRdx4zYt0yi8NPZHIHp/view?usp=sharing" TargetMode="External"/><Relationship Id="rId89" Type="http://schemas.openxmlformats.org/officeDocument/2006/relationships/hyperlink" Target="https://drive.google.com/file/d/15kBmP6wTK0-f0Bj0feFZwiqmtwOtqWIR/view?usp=sharing" TargetMode="External"/><Relationship Id="rId112" Type="http://schemas.openxmlformats.org/officeDocument/2006/relationships/hyperlink" Target="https://drive.google.com/file/d/1T4h-GFEs7W8f5ZQYwF0yJzBNxo1eF0jB/view?usp=sharing" TargetMode="External"/><Relationship Id="rId133" Type="http://schemas.openxmlformats.org/officeDocument/2006/relationships/hyperlink" Target="https://drive.google.com/file/d/1IyTysQKtWzTXQaCsytyAzN9fV2QOABya/view?usp=share_link" TargetMode="External"/><Relationship Id="rId154" Type="http://schemas.openxmlformats.org/officeDocument/2006/relationships/hyperlink" Target="https://drive.google.com/file/d/1j-CR_XJtybDeFqUFwYoykT03aDQDJcRv/view?usp=sharing" TargetMode="External"/><Relationship Id="rId175" Type="http://schemas.openxmlformats.org/officeDocument/2006/relationships/hyperlink" Target="https://drive.google.com/file/d/1EjiXSat70l10whAEfPkI8Wx7hfCwe89n/view?usp=sharing" TargetMode="External"/><Relationship Id="rId196" Type="http://schemas.openxmlformats.org/officeDocument/2006/relationships/hyperlink" Target="https://drive.google.com/file/d/1ANht9slXlxLd2riM_R3OWNB2ziC845aJ/view?usp=sharing" TargetMode="External"/><Relationship Id="rId200" Type="http://schemas.openxmlformats.org/officeDocument/2006/relationships/hyperlink" Target="https://drive.google.com/file/d/1myJKwEe_e7K8KkQaWu0EOJOSJRoQQgP1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039"/>
  <sheetViews>
    <sheetView tabSelected="1" workbookViewId="0">
      <selection sqref="A1:XFD1048576"/>
    </sheetView>
  </sheetViews>
  <sheetFormatPr defaultColWidth="14.42578125" defaultRowHeight="15"/>
  <cols>
    <col min="1" max="1" width="4.7109375" style="10" customWidth="1"/>
    <col min="2" max="2" width="30.85546875" style="10" customWidth="1"/>
    <col min="3" max="3" width="12.5703125" style="10" customWidth="1"/>
    <col min="4" max="4" width="14.42578125" style="10"/>
    <col min="5" max="5" width="13.7109375" style="10" customWidth="1"/>
    <col min="6" max="6" width="10.28515625" style="10" customWidth="1"/>
    <col min="7" max="7" width="14.42578125" style="10"/>
    <col min="8" max="8" width="18.42578125" style="10" customWidth="1"/>
    <col min="9" max="9" width="14.42578125" style="10"/>
    <col min="10" max="10" width="16.42578125" style="10" customWidth="1"/>
    <col min="11" max="11" width="14.42578125" style="10"/>
    <col min="12" max="12" width="24.42578125" style="10" customWidth="1"/>
    <col min="13" max="15" width="14.42578125" style="10"/>
    <col min="16" max="16" width="18" style="10" customWidth="1"/>
    <col min="17" max="17" width="22.7109375" style="10" customWidth="1"/>
    <col min="18" max="19" width="14.42578125" style="10"/>
    <col min="20" max="20" width="13.5703125" style="10" customWidth="1"/>
    <col min="21" max="21" width="11.7109375" style="10" customWidth="1"/>
    <col min="22" max="16384" width="14.42578125" style="10"/>
  </cols>
  <sheetData>
    <row r="1" spans="1:39" ht="17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4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/>
      <c r="Z1" s="8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ht="18.75">
      <c r="A2" s="11">
        <v>1</v>
      </c>
      <c r="B2" s="12" t="s">
        <v>24</v>
      </c>
      <c r="C2" s="13" t="s">
        <v>25</v>
      </c>
      <c r="D2" s="14">
        <v>50205602385</v>
      </c>
      <c r="E2" s="13" t="s">
        <v>26</v>
      </c>
      <c r="F2" s="15" t="s">
        <v>27</v>
      </c>
      <c r="G2" s="16" t="s">
        <v>28</v>
      </c>
      <c r="H2" s="13" t="s">
        <v>29</v>
      </c>
      <c r="I2" s="13">
        <v>9002079694</v>
      </c>
      <c r="J2" s="17">
        <v>8918637567</v>
      </c>
      <c r="K2" s="18" t="s">
        <v>30</v>
      </c>
      <c r="L2" s="13" t="s">
        <v>31</v>
      </c>
      <c r="M2" s="19">
        <v>32254</v>
      </c>
      <c r="N2" s="19">
        <v>54178</v>
      </c>
      <c r="O2" s="19">
        <v>46510</v>
      </c>
      <c r="P2" s="19">
        <v>45608</v>
      </c>
      <c r="Q2" s="19">
        <v>45591</v>
      </c>
      <c r="R2" s="20"/>
      <c r="S2" s="20"/>
      <c r="T2" s="21" t="s">
        <v>32</v>
      </c>
      <c r="U2" s="21" t="s">
        <v>33</v>
      </c>
      <c r="V2" s="20">
        <f t="shared" ref="V2:V10" si="0">LEN(D2)</f>
        <v>11</v>
      </c>
      <c r="W2" s="22"/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spans="1:39" ht="18.75">
      <c r="A3" s="11">
        <v>3</v>
      </c>
      <c r="B3" s="12" t="s">
        <v>34</v>
      </c>
      <c r="C3" s="13" t="s">
        <v>25</v>
      </c>
      <c r="D3" s="14">
        <v>50200101357</v>
      </c>
      <c r="E3" s="13" t="s">
        <v>35</v>
      </c>
      <c r="F3" s="15" t="s">
        <v>27</v>
      </c>
      <c r="G3" s="16" t="s">
        <v>36</v>
      </c>
      <c r="H3" s="13" t="s">
        <v>37</v>
      </c>
      <c r="I3" s="13">
        <v>9002071008</v>
      </c>
      <c r="J3" s="13">
        <v>9002071008</v>
      </c>
      <c r="K3" s="18" t="s">
        <v>30</v>
      </c>
      <c r="L3" s="13" t="s">
        <v>31</v>
      </c>
      <c r="M3" s="19">
        <v>30303</v>
      </c>
      <c r="N3" s="19">
        <v>52231</v>
      </c>
      <c r="O3" s="19">
        <v>46210</v>
      </c>
      <c r="P3" s="19">
        <v>45608</v>
      </c>
      <c r="Q3" s="19">
        <v>45591</v>
      </c>
      <c r="R3" s="20"/>
      <c r="S3" s="20"/>
      <c r="T3" s="21" t="s">
        <v>38</v>
      </c>
      <c r="U3" s="21" t="s">
        <v>39</v>
      </c>
      <c r="V3" s="20">
        <f t="shared" si="0"/>
        <v>11</v>
      </c>
      <c r="W3" s="22"/>
      <c r="X3" s="22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  <c r="AJ3" s="9"/>
      <c r="AK3" s="9"/>
      <c r="AL3" s="9"/>
      <c r="AM3" s="9"/>
    </row>
    <row r="4" spans="1:39" ht="15.75" customHeight="1">
      <c r="A4" s="11">
        <v>5</v>
      </c>
      <c r="B4" s="12" t="s">
        <v>40</v>
      </c>
      <c r="C4" s="13" t="s">
        <v>25</v>
      </c>
      <c r="D4" s="14">
        <v>50205602555</v>
      </c>
      <c r="E4" s="13" t="s">
        <v>41</v>
      </c>
      <c r="F4" s="15" t="s">
        <v>27</v>
      </c>
      <c r="G4" s="16" t="s">
        <v>28</v>
      </c>
      <c r="H4" s="13" t="s">
        <v>29</v>
      </c>
      <c r="I4" s="13">
        <v>9002071228</v>
      </c>
      <c r="J4" s="13"/>
      <c r="K4" s="18" t="s">
        <v>30</v>
      </c>
      <c r="L4" s="18" t="s">
        <v>31</v>
      </c>
      <c r="M4" s="19">
        <v>30878</v>
      </c>
      <c r="N4" s="19">
        <v>52809</v>
      </c>
      <c r="O4" s="19">
        <v>45767</v>
      </c>
      <c r="P4" s="19">
        <v>45608</v>
      </c>
      <c r="Q4" s="19">
        <v>45591</v>
      </c>
      <c r="R4" s="20"/>
      <c r="S4" s="20"/>
      <c r="T4" s="21" t="s">
        <v>42</v>
      </c>
      <c r="U4" s="21" t="s">
        <v>43</v>
      </c>
      <c r="V4" s="20">
        <f t="shared" si="0"/>
        <v>11</v>
      </c>
      <c r="W4" s="22"/>
      <c r="X4" s="22"/>
      <c r="Y4" s="23"/>
      <c r="Z4" s="23"/>
      <c r="AB4" s="23"/>
    </row>
    <row r="5" spans="1:39" ht="15.75" customHeight="1">
      <c r="A5" s="11">
        <v>7</v>
      </c>
      <c r="B5" s="24" t="s">
        <v>44</v>
      </c>
      <c r="C5" s="18" t="s">
        <v>25</v>
      </c>
      <c r="D5" s="25">
        <v>50209645664</v>
      </c>
      <c r="E5" s="13" t="s">
        <v>45</v>
      </c>
      <c r="F5" s="26" t="s">
        <v>27</v>
      </c>
      <c r="G5" s="13" t="s">
        <v>28</v>
      </c>
      <c r="H5" s="18" t="s">
        <v>29</v>
      </c>
      <c r="I5" s="18">
        <v>9002071798</v>
      </c>
      <c r="J5" s="18">
        <v>9002071798</v>
      </c>
      <c r="K5" s="18" t="s">
        <v>30</v>
      </c>
      <c r="L5" s="13" t="s">
        <v>46</v>
      </c>
      <c r="M5" s="27">
        <v>26688</v>
      </c>
      <c r="N5" s="27">
        <v>48610</v>
      </c>
      <c r="O5" s="27">
        <v>45318</v>
      </c>
      <c r="P5" s="27">
        <v>45212</v>
      </c>
      <c r="Q5" s="28">
        <v>45177</v>
      </c>
      <c r="R5" s="23"/>
      <c r="S5" s="7"/>
      <c r="T5" s="21" t="s">
        <v>47</v>
      </c>
      <c r="U5" s="21" t="s">
        <v>48</v>
      </c>
      <c r="V5" s="8">
        <f t="shared" si="0"/>
        <v>11</v>
      </c>
      <c r="W5" s="8"/>
      <c r="X5" s="29">
        <f t="shared" ref="X5:X6" ca="1" si="1">INT((TODAY()-M5)/365)</f>
        <v>53</v>
      </c>
      <c r="Y5" s="23"/>
      <c r="Z5" s="23"/>
    </row>
    <row r="6" spans="1:39">
      <c r="A6" s="11">
        <v>9</v>
      </c>
      <c r="B6" s="24" t="s">
        <v>49</v>
      </c>
      <c r="C6" s="18" t="s">
        <v>25</v>
      </c>
      <c r="D6" s="25">
        <v>50200035841</v>
      </c>
      <c r="E6" s="13" t="s">
        <v>50</v>
      </c>
      <c r="F6" s="26" t="s">
        <v>27</v>
      </c>
      <c r="G6" s="13" t="s">
        <v>28</v>
      </c>
      <c r="H6" s="18" t="s">
        <v>29</v>
      </c>
      <c r="I6" s="30">
        <v>9002071392</v>
      </c>
      <c r="J6" s="30">
        <v>9002071392</v>
      </c>
      <c r="K6" s="18" t="s">
        <v>30</v>
      </c>
      <c r="L6" s="18" t="s">
        <v>46</v>
      </c>
      <c r="M6" s="27">
        <v>32333</v>
      </c>
      <c r="N6" s="27">
        <v>54270</v>
      </c>
      <c r="O6" s="27">
        <v>45458</v>
      </c>
      <c r="P6" s="27">
        <v>45212</v>
      </c>
      <c r="Q6" s="28">
        <v>45177</v>
      </c>
      <c r="R6" s="23"/>
      <c r="S6" s="7"/>
      <c r="T6" s="21" t="s">
        <v>51</v>
      </c>
      <c r="U6" s="21" t="s">
        <v>51</v>
      </c>
      <c r="V6" s="8">
        <f t="shared" si="0"/>
        <v>11</v>
      </c>
      <c r="W6" s="8"/>
      <c r="X6" s="29">
        <f t="shared" ca="1" si="1"/>
        <v>37</v>
      </c>
      <c r="Y6" s="23"/>
      <c r="Z6" s="23"/>
    </row>
    <row r="7" spans="1:39" ht="15.75" customHeight="1">
      <c r="A7" s="11">
        <v>10</v>
      </c>
      <c r="B7" s="12" t="s">
        <v>52</v>
      </c>
      <c r="C7" s="13" t="s">
        <v>25</v>
      </c>
      <c r="D7" s="14">
        <v>50202682710</v>
      </c>
      <c r="E7" s="31" t="s">
        <v>53</v>
      </c>
      <c r="F7" s="15" t="s">
        <v>27</v>
      </c>
      <c r="G7" s="32" t="s">
        <v>36</v>
      </c>
      <c r="H7" s="13" t="s">
        <v>37</v>
      </c>
      <c r="I7" s="13">
        <v>8420320083</v>
      </c>
      <c r="J7" s="13"/>
      <c r="K7" s="18" t="s">
        <v>30</v>
      </c>
      <c r="L7" s="18" t="s">
        <v>46</v>
      </c>
      <c r="M7" s="19">
        <v>26574</v>
      </c>
      <c r="N7" s="19">
        <v>48518</v>
      </c>
      <c r="O7" s="19">
        <v>45200</v>
      </c>
      <c r="P7" s="27">
        <v>45552</v>
      </c>
      <c r="Q7" s="27">
        <v>45537</v>
      </c>
      <c r="R7" s="20"/>
      <c r="S7" s="20"/>
      <c r="T7" s="21" t="s">
        <v>54</v>
      </c>
      <c r="U7" s="21" t="s">
        <v>55</v>
      </c>
      <c r="V7" s="20">
        <f t="shared" si="0"/>
        <v>11</v>
      </c>
      <c r="W7" s="22"/>
      <c r="X7" s="22"/>
      <c r="Y7" s="23"/>
      <c r="Z7" s="23"/>
    </row>
    <row r="8" spans="1:39" ht="18.75">
      <c r="A8" s="11">
        <v>11</v>
      </c>
      <c r="B8" s="12" t="s">
        <v>56</v>
      </c>
      <c r="C8" s="13" t="s">
        <v>25</v>
      </c>
      <c r="D8" s="14">
        <v>50200099260</v>
      </c>
      <c r="E8" s="13" t="s">
        <v>57</v>
      </c>
      <c r="F8" s="15" t="s">
        <v>27</v>
      </c>
      <c r="G8" s="16" t="s">
        <v>28</v>
      </c>
      <c r="H8" s="13" t="s">
        <v>37</v>
      </c>
      <c r="I8" s="13">
        <v>9002071076</v>
      </c>
      <c r="J8" s="17">
        <v>7001554906</v>
      </c>
      <c r="K8" s="18" t="s">
        <v>30</v>
      </c>
      <c r="L8" s="18" t="s">
        <v>58</v>
      </c>
      <c r="M8" s="19">
        <v>30237</v>
      </c>
      <c r="N8" s="19">
        <v>52170</v>
      </c>
      <c r="O8" s="19">
        <v>46000</v>
      </c>
      <c r="P8" s="19">
        <v>45748</v>
      </c>
      <c r="Q8" s="28">
        <v>45705</v>
      </c>
      <c r="R8" s="33"/>
      <c r="S8" s="20"/>
      <c r="T8" s="21" t="s">
        <v>59</v>
      </c>
      <c r="U8" s="21" t="s">
        <v>60</v>
      </c>
      <c r="V8" s="20">
        <f t="shared" si="0"/>
        <v>11</v>
      </c>
      <c r="W8" s="22"/>
      <c r="X8" s="22"/>
      <c r="Y8" s="22"/>
      <c r="Z8" s="23"/>
      <c r="AA8" s="23"/>
      <c r="AB8" s="9">
        <f t="shared" ref="AB8:AB11" ca="1" si="2">INT((TODAY()-M8)/365)</f>
        <v>43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spans="1:39" ht="15.75" customHeight="1">
      <c r="A9" s="11">
        <v>12</v>
      </c>
      <c r="B9" s="12" t="s">
        <v>61</v>
      </c>
      <c r="C9" s="13" t="s">
        <v>25</v>
      </c>
      <c r="D9" s="14">
        <v>50200101175</v>
      </c>
      <c r="E9" s="13" t="s">
        <v>62</v>
      </c>
      <c r="F9" s="15" t="s">
        <v>27</v>
      </c>
      <c r="G9" s="16" t="s">
        <v>28</v>
      </c>
      <c r="H9" s="13" t="s">
        <v>37</v>
      </c>
      <c r="I9" s="13">
        <v>9002079000</v>
      </c>
      <c r="J9" s="13"/>
      <c r="K9" s="18" t="s">
        <v>30</v>
      </c>
      <c r="L9" s="13" t="s">
        <v>63</v>
      </c>
      <c r="M9" s="19">
        <v>29244</v>
      </c>
      <c r="N9" s="19">
        <v>51166</v>
      </c>
      <c r="O9" s="19">
        <v>45681</v>
      </c>
      <c r="P9" s="27">
        <v>45720</v>
      </c>
      <c r="Q9" s="28">
        <v>45705</v>
      </c>
      <c r="R9" s="20"/>
      <c r="S9" s="20"/>
      <c r="T9" s="21" t="s">
        <v>64</v>
      </c>
      <c r="U9" s="21" t="s">
        <v>65</v>
      </c>
      <c r="V9" s="20">
        <f t="shared" si="0"/>
        <v>11</v>
      </c>
      <c r="W9" s="22"/>
      <c r="X9" s="22"/>
      <c r="Y9" s="22"/>
      <c r="Z9" s="23"/>
      <c r="AA9" s="23"/>
      <c r="AB9" s="8">
        <f t="shared" ca="1" si="2"/>
        <v>46</v>
      </c>
      <c r="AC9" s="7"/>
      <c r="AD9" s="7"/>
      <c r="AE9" s="7"/>
      <c r="AF9" s="7"/>
      <c r="AG9" s="7"/>
      <c r="AH9" s="7"/>
      <c r="AI9" s="34"/>
      <c r="AJ9" s="34"/>
      <c r="AK9" s="34"/>
      <c r="AL9" s="34"/>
      <c r="AM9" s="34"/>
    </row>
    <row r="10" spans="1:39" ht="15.75" customHeight="1">
      <c r="A10" s="11">
        <v>13</v>
      </c>
      <c r="B10" s="12" t="s">
        <v>66</v>
      </c>
      <c r="C10" s="13" t="s">
        <v>25</v>
      </c>
      <c r="D10" s="35">
        <v>50205606860</v>
      </c>
      <c r="E10" s="13" t="s">
        <v>67</v>
      </c>
      <c r="F10" s="15" t="s">
        <v>27</v>
      </c>
      <c r="G10" s="16" t="s">
        <v>36</v>
      </c>
      <c r="H10" s="13" t="s">
        <v>29</v>
      </c>
      <c r="I10" s="13">
        <v>9002071053</v>
      </c>
      <c r="J10" s="17">
        <v>9609625595</v>
      </c>
      <c r="K10" s="18" t="s">
        <v>30</v>
      </c>
      <c r="L10" s="13" t="s">
        <v>63</v>
      </c>
      <c r="M10" s="19">
        <v>32238</v>
      </c>
      <c r="N10" s="19">
        <v>54178</v>
      </c>
      <c r="O10" s="19">
        <v>45847</v>
      </c>
      <c r="P10" s="28">
        <v>45695</v>
      </c>
      <c r="Q10" s="28">
        <v>45622</v>
      </c>
      <c r="R10" s="33"/>
      <c r="S10" s="20"/>
      <c r="T10" s="21" t="s">
        <v>68</v>
      </c>
      <c r="U10" s="21" t="s">
        <v>69</v>
      </c>
      <c r="V10" s="20">
        <f t="shared" si="0"/>
        <v>11</v>
      </c>
      <c r="W10" s="22"/>
      <c r="X10" s="22"/>
      <c r="Y10" s="22"/>
      <c r="Z10" s="23"/>
      <c r="AA10" s="23"/>
      <c r="AB10" s="9">
        <f t="shared" ca="1" si="2"/>
        <v>37</v>
      </c>
    </row>
    <row r="11" spans="1:39" ht="15.75" customHeight="1">
      <c r="A11" s="11">
        <v>14</v>
      </c>
      <c r="B11" s="12" t="s">
        <v>70</v>
      </c>
      <c r="C11" s="13" t="s">
        <v>25</v>
      </c>
      <c r="D11" s="14">
        <v>50200099650</v>
      </c>
      <c r="E11" s="13" t="s">
        <v>71</v>
      </c>
      <c r="F11" s="15" t="s">
        <v>27</v>
      </c>
      <c r="G11" s="16" t="s">
        <v>28</v>
      </c>
      <c r="H11" s="13" t="s">
        <v>29</v>
      </c>
      <c r="I11" s="13">
        <v>9002071363</v>
      </c>
      <c r="J11" s="13"/>
      <c r="K11" s="18" t="s">
        <v>30</v>
      </c>
      <c r="L11" s="13" t="s">
        <v>31</v>
      </c>
      <c r="M11" s="19">
        <v>31905</v>
      </c>
      <c r="N11" s="19">
        <v>53843</v>
      </c>
      <c r="O11" s="19">
        <v>45999</v>
      </c>
      <c r="P11" s="27">
        <v>45720</v>
      </c>
      <c r="Q11" s="28">
        <v>45677</v>
      </c>
      <c r="R11" s="20"/>
      <c r="S11" s="20"/>
      <c r="T11" s="21" t="s">
        <v>72</v>
      </c>
      <c r="U11" s="21" t="s">
        <v>73</v>
      </c>
      <c r="V11" s="20"/>
      <c r="W11" s="22"/>
      <c r="X11" s="22"/>
      <c r="Y11" s="22"/>
      <c r="Z11" s="23"/>
      <c r="AB11" s="9">
        <f t="shared" ca="1" si="2"/>
        <v>38</v>
      </c>
    </row>
    <row r="12" spans="1:39" ht="18.75">
      <c r="A12" s="11">
        <v>15</v>
      </c>
      <c r="B12" s="12" t="s">
        <v>74</v>
      </c>
      <c r="C12" s="13" t="s">
        <v>25</v>
      </c>
      <c r="D12" s="35">
        <v>50200065754</v>
      </c>
      <c r="E12" s="16" t="s">
        <v>75</v>
      </c>
      <c r="F12" s="26" t="s">
        <v>27</v>
      </c>
      <c r="G12" s="16" t="s">
        <v>28</v>
      </c>
      <c r="H12" s="18" t="s">
        <v>37</v>
      </c>
      <c r="I12" s="13">
        <v>9002071027</v>
      </c>
      <c r="J12" s="13">
        <v>9002071027</v>
      </c>
      <c r="K12" s="18" t="s">
        <v>30</v>
      </c>
      <c r="L12" s="13" t="s">
        <v>76</v>
      </c>
      <c r="M12" s="19">
        <v>27987</v>
      </c>
      <c r="N12" s="19">
        <v>49918</v>
      </c>
      <c r="O12" s="19">
        <v>45151</v>
      </c>
      <c r="P12" s="27">
        <v>45487</v>
      </c>
      <c r="Q12" s="27">
        <v>45509</v>
      </c>
      <c r="R12" s="23"/>
      <c r="S12" s="20"/>
      <c r="T12" s="21" t="s">
        <v>77</v>
      </c>
      <c r="U12" s="21" t="s">
        <v>78</v>
      </c>
      <c r="V12" s="20">
        <f>LEN(D12)</f>
        <v>11</v>
      </c>
      <c r="W12" s="22"/>
      <c r="X12" s="29">
        <f ca="1">INT((TODAY()-M12)/365)</f>
        <v>49</v>
      </c>
      <c r="Y12" s="23"/>
      <c r="Z12" s="23"/>
    </row>
    <row r="13" spans="1:39" ht="15.75" customHeight="1">
      <c r="A13" s="11">
        <v>16</v>
      </c>
      <c r="B13" s="12" t="s">
        <v>79</v>
      </c>
      <c r="C13" s="18" t="s">
        <v>25</v>
      </c>
      <c r="D13" s="36">
        <v>50205606846</v>
      </c>
      <c r="E13" s="13" t="s">
        <v>80</v>
      </c>
      <c r="F13" s="37" t="s">
        <v>27</v>
      </c>
      <c r="G13" s="13" t="s">
        <v>28</v>
      </c>
      <c r="H13" s="18" t="s">
        <v>29</v>
      </c>
      <c r="I13" s="18">
        <v>9002071665</v>
      </c>
      <c r="J13" s="18"/>
      <c r="K13" s="18" t="s">
        <v>30</v>
      </c>
      <c r="L13" s="22" t="s">
        <v>81</v>
      </c>
      <c r="M13" s="27">
        <v>31654</v>
      </c>
      <c r="N13" s="27">
        <v>53570</v>
      </c>
      <c r="O13" s="27">
        <v>45847</v>
      </c>
      <c r="P13" s="27">
        <v>45720</v>
      </c>
      <c r="Q13" s="28">
        <v>45705</v>
      </c>
      <c r="R13" s="38"/>
      <c r="S13" s="7"/>
      <c r="T13" s="21" t="s">
        <v>82</v>
      </c>
      <c r="U13" s="21" t="s">
        <v>83</v>
      </c>
      <c r="V13" s="8">
        <f>LEN(TEXT(D13,0))</f>
        <v>11</v>
      </c>
      <c r="W13" s="29">
        <f ca="1">INT((TODAY()-M13)/365)</f>
        <v>39</v>
      </c>
      <c r="X13" s="8"/>
      <c r="Y13" s="23"/>
      <c r="Z13" s="23"/>
      <c r="AH13" s="9"/>
      <c r="AI13" s="9"/>
      <c r="AJ13" s="9"/>
      <c r="AK13" s="9"/>
      <c r="AL13" s="9"/>
      <c r="AM13" s="9"/>
    </row>
    <row r="14" spans="1:39" ht="15.75" customHeight="1">
      <c r="A14" s="11">
        <v>17</v>
      </c>
      <c r="B14" s="12" t="s">
        <v>84</v>
      </c>
      <c r="C14" s="13" t="s">
        <v>25</v>
      </c>
      <c r="D14" s="35">
        <v>50205607085</v>
      </c>
      <c r="E14" s="13" t="s">
        <v>85</v>
      </c>
      <c r="F14" s="15" t="s">
        <v>27</v>
      </c>
      <c r="G14" s="16" t="s">
        <v>28</v>
      </c>
      <c r="H14" s="13" t="s">
        <v>37</v>
      </c>
      <c r="I14" s="13">
        <v>9002071107</v>
      </c>
      <c r="J14" s="13"/>
      <c r="K14" s="18" t="s">
        <v>30</v>
      </c>
      <c r="L14" s="22" t="s">
        <v>31</v>
      </c>
      <c r="M14" s="19">
        <v>30752</v>
      </c>
      <c r="N14" s="19">
        <v>52687</v>
      </c>
      <c r="O14" s="19">
        <v>45880</v>
      </c>
      <c r="P14" s="19">
        <v>45748</v>
      </c>
      <c r="Q14" s="28">
        <v>7350527</v>
      </c>
      <c r="R14" s="20"/>
      <c r="S14" s="20"/>
      <c r="T14" s="21" t="s">
        <v>86</v>
      </c>
      <c r="U14" s="21" t="s">
        <v>87</v>
      </c>
      <c r="V14" s="20">
        <f>LEN(D14)</f>
        <v>11</v>
      </c>
      <c r="W14" s="22"/>
      <c r="X14" s="22"/>
      <c r="Y14" s="22"/>
      <c r="Z14" s="23"/>
      <c r="AA14" s="23"/>
      <c r="AB14" s="9">
        <f ca="1">INT((TODAY()-M14)/365)</f>
        <v>42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 spans="1:39" ht="15.75" customHeight="1">
      <c r="A15" s="11">
        <v>18</v>
      </c>
      <c r="B15" s="24" t="s">
        <v>88</v>
      </c>
      <c r="C15" s="18" t="s">
        <v>25</v>
      </c>
      <c r="D15" s="36">
        <v>50205607048</v>
      </c>
      <c r="E15" s="13" t="s">
        <v>89</v>
      </c>
      <c r="F15" s="37" t="s">
        <v>27</v>
      </c>
      <c r="G15" s="13" t="s">
        <v>28</v>
      </c>
      <c r="H15" s="18" t="s">
        <v>29</v>
      </c>
      <c r="I15" s="18">
        <v>9002071352</v>
      </c>
      <c r="J15" s="18"/>
      <c r="K15" s="18" t="s">
        <v>30</v>
      </c>
      <c r="L15" s="13" t="s">
        <v>76</v>
      </c>
      <c r="M15" s="27">
        <v>32274</v>
      </c>
      <c r="N15" s="27">
        <v>54209</v>
      </c>
      <c r="O15" s="27">
        <v>45847</v>
      </c>
      <c r="P15" s="27">
        <v>45720</v>
      </c>
      <c r="Q15" s="27">
        <v>45674</v>
      </c>
      <c r="R15" s="38"/>
      <c r="S15" s="7"/>
      <c r="T15" s="21" t="s">
        <v>90</v>
      </c>
      <c r="U15" s="21" t="s">
        <v>91</v>
      </c>
      <c r="V15" s="8">
        <f>LEN(TEXT(D15,0))</f>
        <v>11</v>
      </c>
      <c r="W15" s="29">
        <f ca="1">INT((TODAY()-M15)/365)</f>
        <v>37</v>
      </c>
      <c r="X15" s="8"/>
      <c r="Y15" s="22"/>
      <c r="Z15" s="23"/>
      <c r="AH15" s="9"/>
      <c r="AI15" s="9"/>
      <c r="AJ15" s="9"/>
      <c r="AK15" s="9"/>
      <c r="AL15" s="9"/>
      <c r="AM15" s="9"/>
    </row>
    <row r="16" spans="1:39" ht="15.75" customHeight="1">
      <c r="A16" s="11">
        <v>19</v>
      </c>
      <c r="B16" s="39" t="s">
        <v>92</v>
      </c>
      <c r="C16" s="18" t="s">
        <v>25</v>
      </c>
      <c r="D16" s="25">
        <v>50200035695</v>
      </c>
      <c r="E16" s="18" t="s">
        <v>93</v>
      </c>
      <c r="F16" s="26" t="s">
        <v>27</v>
      </c>
      <c r="G16" s="18" t="s">
        <v>36</v>
      </c>
      <c r="H16" s="18" t="s">
        <v>29</v>
      </c>
      <c r="I16" s="18">
        <v>9002079090</v>
      </c>
      <c r="J16" s="40">
        <v>9735769398</v>
      </c>
      <c r="K16" s="18" t="s">
        <v>30</v>
      </c>
      <c r="L16" s="13" t="s">
        <v>94</v>
      </c>
      <c r="M16" s="27">
        <v>28522</v>
      </c>
      <c r="N16" s="27">
        <v>50436</v>
      </c>
      <c r="O16" s="27">
        <v>45402</v>
      </c>
      <c r="P16" s="27">
        <v>45212</v>
      </c>
      <c r="Q16" s="28">
        <v>45177</v>
      </c>
      <c r="R16" s="23"/>
      <c r="S16" s="7"/>
      <c r="T16" s="21" t="s">
        <v>95</v>
      </c>
      <c r="U16" s="21" t="s">
        <v>96</v>
      </c>
      <c r="V16" s="7" t="s">
        <v>97</v>
      </c>
      <c r="W16" s="8"/>
      <c r="X16" s="29">
        <f ca="1">INT((TODAY()-M16)/365)</f>
        <v>48</v>
      </c>
      <c r="Y16" s="8"/>
      <c r="Z16" s="8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spans="1:39" ht="15.75" customHeight="1">
      <c r="A17" s="11">
        <v>21</v>
      </c>
      <c r="B17" s="39" t="s">
        <v>98</v>
      </c>
      <c r="C17" s="18" t="s">
        <v>25</v>
      </c>
      <c r="D17" s="41">
        <v>50200116051</v>
      </c>
      <c r="E17" s="18" t="s">
        <v>99</v>
      </c>
      <c r="F17" s="37" t="s">
        <v>27</v>
      </c>
      <c r="G17" s="18" t="s">
        <v>36</v>
      </c>
      <c r="H17" s="18" t="s">
        <v>29</v>
      </c>
      <c r="I17" s="18">
        <v>9002071184</v>
      </c>
      <c r="J17" s="42">
        <v>9002071184</v>
      </c>
      <c r="K17" s="18" t="s">
        <v>30</v>
      </c>
      <c r="L17" s="13" t="s">
        <v>46</v>
      </c>
      <c r="M17" s="27">
        <v>32215</v>
      </c>
      <c r="N17" s="27">
        <v>54148</v>
      </c>
      <c r="O17" s="27">
        <v>45185</v>
      </c>
      <c r="P17" s="27">
        <v>45720</v>
      </c>
      <c r="Q17" s="28">
        <v>45705</v>
      </c>
      <c r="R17" s="26"/>
      <c r="S17" s="7"/>
      <c r="T17" s="21" t="s">
        <v>100</v>
      </c>
      <c r="U17" s="21" t="s">
        <v>101</v>
      </c>
      <c r="V17" s="8">
        <f>LEN(TEXT(D17,0))</f>
        <v>11</v>
      </c>
      <c r="W17" s="29">
        <f ca="1">INT((TODAY()-M17)/365)</f>
        <v>38</v>
      </c>
      <c r="X17" s="8"/>
      <c r="Y17" s="22"/>
      <c r="Z17" s="23"/>
      <c r="AB17" s="9">
        <f t="shared" ref="AB17:AB18" ca="1" si="3">INT((TODAY()-M17)/365)</f>
        <v>38</v>
      </c>
    </row>
    <row r="18" spans="1:39" ht="15.75" customHeight="1">
      <c r="A18" s="11">
        <v>22</v>
      </c>
      <c r="B18" s="43" t="s">
        <v>102</v>
      </c>
      <c r="C18" s="13" t="s">
        <v>25</v>
      </c>
      <c r="D18" s="35">
        <v>50205607127</v>
      </c>
      <c r="E18" s="13" t="s">
        <v>103</v>
      </c>
      <c r="F18" s="15" t="s">
        <v>27</v>
      </c>
      <c r="G18" s="16" t="s">
        <v>28</v>
      </c>
      <c r="H18" s="13" t="s">
        <v>29</v>
      </c>
      <c r="I18" s="13">
        <v>9002071082</v>
      </c>
      <c r="J18" s="13"/>
      <c r="K18" s="18" t="s">
        <v>30</v>
      </c>
      <c r="L18" s="18" t="s">
        <v>104</v>
      </c>
      <c r="M18" s="19">
        <v>33044</v>
      </c>
      <c r="N18" s="19">
        <v>54969</v>
      </c>
      <c r="O18" s="19">
        <v>45853</v>
      </c>
      <c r="P18" s="19">
        <v>45748</v>
      </c>
      <c r="Q18" s="28">
        <v>45705</v>
      </c>
      <c r="R18" s="33"/>
      <c r="S18" s="20"/>
      <c r="T18" s="21" t="s">
        <v>105</v>
      </c>
      <c r="U18" s="21" t="s">
        <v>106</v>
      </c>
      <c r="V18" s="20">
        <f>LEN(D18)</f>
        <v>11</v>
      </c>
      <c r="W18" s="22"/>
      <c r="X18" s="22"/>
      <c r="Y18" s="8"/>
      <c r="Z18" s="8"/>
      <c r="AA18" s="9"/>
      <c r="AB18" s="44">
        <f t="shared" ca="1" si="3"/>
        <v>35</v>
      </c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 ht="15.75" customHeight="1">
      <c r="A19" s="11">
        <v>23</v>
      </c>
      <c r="B19" s="39" t="s">
        <v>107</v>
      </c>
      <c r="C19" s="18" t="s">
        <v>25</v>
      </c>
      <c r="D19" s="46">
        <v>50205607358</v>
      </c>
      <c r="E19" s="13" t="s">
        <v>108</v>
      </c>
      <c r="F19" s="37" t="s">
        <v>27</v>
      </c>
      <c r="G19" s="13" t="s">
        <v>28</v>
      </c>
      <c r="H19" s="18" t="s">
        <v>37</v>
      </c>
      <c r="I19" s="18">
        <v>9002071810</v>
      </c>
      <c r="J19" s="40">
        <v>8170022283</v>
      </c>
      <c r="K19" s="18" t="s">
        <v>30</v>
      </c>
      <c r="L19" s="22" t="s">
        <v>63</v>
      </c>
      <c r="M19" s="27">
        <v>31829</v>
      </c>
      <c r="N19" s="27">
        <v>53751</v>
      </c>
      <c r="O19" s="27">
        <v>45882</v>
      </c>
      <c r="P19" s="27">
        <v>45720</v>
      </c>
      <c r="Q19" s="27">
        <v>45674</v>
      </c>
      <c r="R19" s="38"/>
      <c r="S19" s="7"/>
      <c r="T19" s="21" t="s">
        <v>109</v>
      </c>
      <c r="U19" s="21" t="s">
        <v>110</v>
      </c>
      <c r="V19" s="8">
        <f>LEN(TEXT(D19,0))</f>
        <v>11</v>
      </c>
      <c r="W19" s="29">
        <f ca="1">INT((TODAY()-M19)/365)</f>
        <v>39</v>
      </c>
      <c r="X19" s="8"/>
      <c r="Y19" s="8"/>
      <c r="Z19" s="8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spans="1:39" ht="15.75">
      <c r="A20" s="11">
        <v>24</v>
      </c>
      <c r="B20" s="24" t="s">
        <v>111</v>
      </c>
      <c r="C20" s="13" t="s">
        <v>25</v>
      </c>
      <c r="D20" s="47">
        <v>50200116701</v>
      </c>
      <c r="E20" s="48" t="s">
        <v>112</v>
      </c>
      <c r="F20" s="15" t="s">
        <v>27</v>
      </c>
      <c r="G20" s="18" t="s">
        <v>36</v>
      </c>
      <c r="H20" s="13" t="s">
        <v>37</v>
      </c>
      <c r="I20" s="18">
        <v>9002071631</v>
      </c>
      <c r="J20" s="36">
        <v>9002071631</v>
      </c>
      <c r="K20" s="18" t="s">
        <v>30</v>
      </c>
      <c r="L20" s="13" t="s">
        <v>31</v>
      </c>
      <c r="M20" s="27">
        <v>30787</v>
      </c>
      <c r="N20" s="27">
        <v>52717</v>
      </c>
      <c r="O20" s="27">
        <v>46643</v>
      </c>
      <c r="P20" s="27">
        <v>45257</v>
      </c>
      <c r="Q20" s="27">
        <v>45242</v>
      </c>
      <c r="R20" s="20"/>
      <c r="S20" s="7"/>
      <c r="T20" s="21" t="s">
        <v>113</v>
      </c>
      <c r="U20" s="21" t="s">
        <v>114</v>
      </c>
      <c r="V20" s="8">
        <f t="shared" ref="V20:V36" si="4">LEN(D20)</f>
        <v>11</v>
      </c>
      <c r="W20" s="8"/>
      <c r="X20" s="8"/>
      <c r="Y20" s="8"/>
      <c r="Z20" s="8"/>
      <c r="AA20" s="8"/>
      <c r="AB20" s="9">
        <f ca="1">INT((TODAY()-M20)/365)</f>
        <v>41</v>
      </c>
    </row>
    <row r="21" spans="1:39" ht="15.75" customHeight="1">
      <c r="A21" s="11">
        <v>25</v>
      </c>
      <c r="B21" s="49" t="s">
        <v>115</v>
      </c>
      <c r="C21" s="22" t="s">
        <v>25</v>
      </c>
      <c r="D21" s="25">
        <v>50200162292</v>
      </c>
      <c r="E21" s="13" t="s">
        <v>116</v>
      </c>
      <c r="F21" s="26" t="s">
        <v>27</v>
      </c>
      <c r="G21" s="18" t="s">
        <v>36</v>
      </c>
      <c r="H21" s="18" t="s">
        <v>29</v>
      </c>
      <c r="I21" s="50">
        <v>9002071793</v>
      </c>
      <c r="J21" s="51"/>
      <c r="K21" s="18" t="s">
        <v>30</v>
      </c>
      <c r="L21" s="22" t="s">
        <v>63</v>
      </c>
      <c r="M21" s="27">
        <v>30806</v>
      </c>
      <c r="N21" s="27">
        <v>52748</v>
      </c>
      <c r="O21" s="27">
        <v>45997</v>
      </c>
      <c r="P21" s="19">
        <v>45559</v>
      </c>
      <c r="Q21" s="27">
        <v>45527</v>
      </c>
      <c r="R21" s="7"/>
      <c r="S21" s="7"/>
      <c r="T21" s="21" t="s">
        <v>117</v>
      </c>
      <c r="U21" s="21" t="s">
        <v>118</v>
      </c>
      <c r="V21" s="8">
        <f t="shared" si="4"/>
        <v>11</v>
      </c>
      <c r="W21" s="8"/>
      <c r="X21" s="29">
        <f ca="1">INT((TODAY()-M21)/365)</f>
        <v>41</v>
      </c>
      <c r="Y21" s="8"/>
      <c r="Z21" s="8"/>
      <c r="AA21" s="9"/>
      <c r="AB21" s="9"/>
    </row>
    <row r="22" spans="1:39" ht="15.75" customHeight="1">
      <c r="A22" s="11">
        <v>26</v>
      </c>
      <c r="B22" s="49" t="s">
        <v>119</v>
      </c>
      <c r="C22" s="13" t="s">
        <v>25</v>
      </c>
      <c r="D22" s="52">
        <v>50205607462</v>
      </c>
      <c r="E22" s="22" t="s">
        <v>120</v>
      </c>
      <c r="F22" s="37" t="s">
        <v>27</v>
      </c>
      <c r="G22" s="18" t="s">
        <v>36</v>
      </c>
      <c r="H22" s="18" t="s">
        <v>37</v>
      </c>
      <c r="I22" s="18">
        <v>9003071703</v>
      </c>
      <c r="J22" s="40">
        <v>850915465</v>
      </c>
      <c r="K22" s="18" t="s">
        <v>30</v>
      </c>
      <c r="L22" s="30" t="s">
        <v>81</v>
      </c>
      <c r="M22" s="27">
        <v>32065</v>
      </c>
      <c r="N22" s="27">
        <v>53996</v>
      </c>
      <c r="O22" s="27">
        <v>45903</v>
      </c>
      <c r="P22" s="19">
        <v>45391</v>
      </c>
      <c r="Q22" s="27">
        <v>45373</v>
      </c>
      <c r="R22" s="7"/>
      <c r="S22" s="7"/>
      <c r="T22" s="21" t="s">
        <v>121</v>
      </c>
      <c r="U22" s="21" t="s">
        <v>122</v>
      </c>
      <c r="V22" s="8">
        <f t="shared" si="4"/>
        <v>11</v>
      </c>
      <c r="W22" s="29">
        <f t="shared" ref="W22:W24" ca="1" si="5">INT((TODAY()-M22)/365)</f>
        <v>38</v>
      </c>
      <c r="X22" s="8"/>
      <c r="Y22" s="8"/>
      <c r="Z22" s="8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spans="1:39" ht="15.75" customHeight="1">
      <c r="A23" s="11">
        <v>27</v>
      </c>
      <c r="B23" s="53" t="s">
        <v>123</v>
      </c>
      <c r="C23" s="13" t="s">
        <v>25</v>
      </c>
      <c r="D23" s="25">
        <v>50200114637</v>
      </c>
      <c r="E23" s="22" t="s">
        <v>124</v>
      </c>
      <c r="F23" s="37" t="s">
        <v>27</v>
      </c>
      <c r="G23" s="18" t="s">
        <v>28</v>
      </c>
      <c r="H23" s="18" t="s">
        <v>37</v>
      </c>
      <c r="I23" s="18">
        <v>9002071367</v>
      </c>
      <c r="J23" s="18"/>
      <c r="K23" s="18" t="s">
        <v>30</v>
      </c>
      <c r="L23" s="22" t="s">
        <v>63</v>
      </c>
      <c r="M23" s="27">
        <v>30030</v>
      </c>
      <c r="N23" s="27">
        <v>51956</v>
      </c>
      <c r="O23" s="27">
        <v>45181</v>
      </c>
      <c r="P23" s="27">
        <v>45257</v>
      </c>
      <c r="Q23" s="27">
        <v>45242</v>
      </c>
      <c r="R23" s="33"/>
      <c r="S23" s="7"/>
      <c r="T23" s="21" t="s">
        <v>125</v>
      </c>
      <c r="U23" s="21" t="s">
        <v>126</v>
      </c>
      <c r="V23" s="8">
        <f t="shared" si="4"/>
        <v>11</v>
      </c>
      <c r="W23" s="29">
        <f t="shared" ca="1" si="5"/>
        <v>44</v>
      </c>
      <c r="X23" s="8"/>
      <c r="Y23" s="8"/>
      <c r="Z23" s="8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spans="1:39" ht="15.75" customHeight="1">
      <c r="A24" s="11">
        <v>28</v>
      </c>
      <c r="B24" s="53" t="s">
        <v>127</v>
      </c>
      <c r="C24" s="13" t="s">
        <v>25</v>
      </c>
      <c r="D24" s="25">
        <v>50205607437</v>
      </c>
      <c r="E24" s="22" t="s">
        <v>128</v>
      </c>
      <c r="F24" s="37" t="s">
        <v>27</v>
      </c>
      <c r="G24" s="18" t="s">
        <v>36</v>
      </c>
      <c r="H24" s="18" t="s">
        <v>29</v>
      </c>
      <c r="I24" s="18">
        <v>9002071395</v>
      </c>
      <c r="J24" s="18"/>
      <c r="K24" s="18" t="s">
        <v>30</v>
      </c>
      <c r="L24" s="18" t="s">
        <v>104</v>
      </c>
      <c r="M24" s="27">
        <v>32787</v>
      </c>
      <c r="N24" s="27">
        <v>54727</v>
      </c>
      <c r="O24" s="27">
        <v>45909</v>
      </c>
      <c r="P24" s="19">
        <v>45283</v>
      </c>
      <c r="Q24" s="27">
        <v>45242</v>
      </c>
      <c r="R24" s="38"/>
      <c r="S24" s="7"/>
      <c r="T24" s="21" t="s">
        <v>129</v>
      </c>
      <c r="U24" s="21" t="s">
        <v>130</v>
      </c>
      <c r="V24" s="8">
        <f t="shared" si="4"/>
        <v>11</v>
      </c>
      <c r="W24" s="29">
        <f t="shared" ca="1" si="5"/>
        <v>36</v>
      </c>
      <c r="X24" s="8"/>
      <c r="Y24" s="8"/>
      <c r="Z24" s="8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15.75" customHeight="1">
      <c r="A25" s="11">
        <v>29</v>
      </c>
      <c r="B25" s="49" t="s">
        <v>131</v>
      </c>
      <c r="C25" s="22" t="s">
        <v>25</v>
      </c>
      <c r="D25" s="25">
        <v>50205607565</v>
      </c>
      <c r="E25" s="13" t="s">
        <v>132</v>
      </c>
      <c r="F25" s="26" t="s">
        <v>27</v>
      </c>
      <c r="G25" s="18" t="s">
        <v>28</v>
      </c>
      <c r="H25" s="18" t="s">
        <v>37</v>
      </c>
      <c r="I25" s="18">
        <v>8420320005</v>
      </c>
      <c r="J25" s="51"/>
      <c r="K25" s="18" t="s">
        <v>30</v>
      </c>
      <c r="L25" s="22" t="s">
        <v>63</v>
      </c>
      <c r="M25" s="27">
        <v>32769</v>
      </c>
      <c r="N25" s="27">
        <v>54696</v>
      </c>
      <c r="O25" s="27">
        <v>45913</v>
      </c>
      <c r="P25" s="19">
        <v>45141</v>
      </c>
      <c r="Q25" s="27">
        <v>45108</v>
      </c>
      <c r="R25" s="33"/>
      <c r="S25" s="20"/>
      <c r="T25" s="21" t="s">
        <v>133</v>
      </c>
      <c r="U25" s="21" t="s">
        <v>134</v>
      </c>
      <c r="V25" s="8">
        <f t="shared" si="4"/>
        <v>11</v>
      </c>
      <c r="W25" s="22"/>
      <c r="X25" s="22"/>
      <c r="Y25" s="22"/>
      <c r="Z25" s="8"/>
      <c r="AA25" s="9"/>
      <c r="AB25" s="9"/>
    </row>
    <row r="26" spans="1:39" ht="15.75" customHeight="1">
      <c r="A26" s="11">
        <v>30</v>
      </c>
      <c r="B26" s="53" t="s">
        <v>135</v>
      </c>
      <c r="C26" s="22" t="s">
        <v>25</v>
      </c>
      <c r="D26" s="47">
        <v>50205607486</v>
      </c>
      <c r="E26" s="13" t="s">
        <v>136</v>
      </c>
      <c r="F26" s="26" t="s">
        <v>27</v>
      </c>
      <c r="G26" s="18" t="s">
        <v>36</v>
      </c>
      <c r="H26" s="18" t="s">
        <v>37</v>
      </c>
      <c r="I26" s="18">
        <v>9330028437</v>
      </c>
      <c r="J26" s="36">
        <v>8642078821</v>
      </c>
      <c r="K26" s="18" t="s">
        <v>30</v>
      </c>
      <c r="L26" s="18" t="s">
        <v>46</v>
      </c>
      <c r="M26" s="27">
        <v>31964</v>
      </c>
      <c r="N26" s="27">
        <v>53904</v>
      </c>
      <c r="O26" s="27">
        <v>45920</v>
      </c>
      <c r="P26" s="19">
        <v>45559</v>
      </c>
      <c r="Q26" s="27">
        <v>45527</v>
      </c>
      <c r="R26" s="33"/>
      <c r="S26" s="7"/>
      <c r="T26" s="21" t="s">
        <v>137</v>
      </c>
      <c r="U26" s="21" t="s">
        <v>138</v>
      </c>
      <c r="V26" s="8">
        <f t="shared" si="4"/>
        <v>11</v>
      </c>
      <c r="W26" s="8"/>
      <c r="X26" s="29">
        <f ca="1">INT((TODAY()-M26)/365)</f>
        <v>38</v>
      </c>
      <c r="Y26" s="8"/>
      <c r="Z26" s="8"/>
      <c r="AA26" s="9"/>
      <c r="AB26" s="9"/>
    </row>
    <row r="27" spans="1:39" ht="15.75" customHeight="1">
      <c r="A27" s="11">
        <v>31</v>
      </c>
      <c r="B27" s="49" t="s">
        <v>139</v>
      </c>
      <c r="C27" s="18" t="s">
        <v>25</v>
      </c>
      <c r="D27" s="25">
        <v>50200116105</v>
      </c>
      <c r="E27" s="48" t="s">
        <v>140</v>
      </c>
      <c r="F27" s="15" t="s">
        <v>27</v>
      </c>
      <c r="G27" s="18" t="s">
        <v>36</v>
      </c>
      <c r="H27" s="13" t="s">
        <v>37</v>
      </c>
      <c r="I27" s="18">
        <v>9002071760</v>
      </c>
      <c r="J27" s="51"/>
      <c r="K27" s="18" t="s">
        <v>30</v>
      </c>
      <c r="L27" s="18" t="s">
        <v>104</v>
      </c>
      <c r="M27" s="27">
        <v>31540</v>
      </c>
      <c r="N27" s="27">
        <v>53478</v>
      </c>
      <c r="O27" s="27">
        <v>45210</v>
      </c>
      <c r="P27" s="27">
        <v>45748</v>
      </c>
      <c r="Q27" s="27">
        <v>45677</v>
      </c>
      <c r="R27" s="7"/>
      <c r="S27" s="7"/>
      <c r="T27" s="21" t="s">
        <v>141</v>
      </c>
      <c r="U27" s="21" t="s">
        <v>142</v>
      </c>
      <c r="V27" s="8">
        <f t="shared" si="4"/>
        <v>11</v>
      </c>
      <c r="W27" s="8"/>
      <c r="X27" s="8"/>
      <c r="Y27" s="8"/>
      <c r="Z27" s="8"/>
      <c r="AA27" s="8"/>
      <c r="AB27" s="8">
        <f ca="1">INT((TODAY()-M27)/365)</f>
        <v>39</v>
      </c>
      <c r="AC27" s="8"/>
      <c r="AD27" s="8"/>
      <c r="AE27" s="8"/>
      <c r="AF27" s="8"/>
      <c r="AG27" s="8"/>
      <c r="AH27" s="8"/>
      <c r="AI27" s="9"/>
      <c r="AJ27" s="9"/>
      <c r="AK27" s="9"/>
      <c r="AL27" s="9"/>
      <c r="AM27" s="9"/>
    </row>
    <row r="28" spans="1:39" ht="15.75" customHeight="1">
      <c r="A28" s="11">
        <v>32</v>
      </c>
      <c r="B28" s="53" t="s">
        <v>143</v>
      </c>
      <c r="C28" s="22" t="s">
        <v>25</v>
      </c>
      <c r="D28" s="25">
        <v>50205607759</v>
      </c>
      <c r="E28" s="54" t="s">
        <v>144</v>
      </c>
      <c r="F28" s="26" t="s">
        <v>27</v>
      </c>
      <c r="G28" s="18" t="s">
        <v>28</v>
      </c>
      <c r="H28" s="18" t="s">
        <v>37</v>
      </c>
      <c r="I28" s="30">
        <v>9002079697</v>
      </c>
      <c r="J28" s="36">
        <v>9002079697</v>
      </c>
      <c r="K28" s="18" t="s">
        <v>30</v>
      </c>
      <c r="L28" s="13" t="s">
        <v>31</v>
      </c>
      <c r="M28" s="27">
        <v>31303</v>
      </c>
      <c r="N28" s="27">
        <v>53235</v>
      </c>
      <c r="O28" s="27">
        <v>45909</v>
      </c>
      <c r="P28" s="27">
        <v>45691</v>
      </c>
      <c r="Q28" s="27">
        <v>45654</v>
      </c>
      <c r="R28" s="7"/>
      <c r="S28" s="7"/>
      <c r="T28" s="21" t="s">
        <v>145</v>
      </c>
      <c r="U28" s="21" t="s">
        <v>146</v>
      </c>
      <c r="V28" s="8">
        <f t="shared" si="4"/>
        <v>11</v>
      </c>
      <c r="W28" s="8"/>
      <c r="X28" s="29">
        <f t="shared" ref="X28:X29" ca="1" si="6">INT((TODAY()-M28)/365)</f>
        <v>40</v>
      </c>
      <c r="Y28" s="8"/>
      <c r="Z28" s="8"/>
      <c r="AA28" s="9"/>
      <c r="AB28" s="9"/>
    </row>
    <row r="29" spans="1:39" ht="15.75" customHeight="1">
      <c r="A29" s="11">
        <v>33</v>
      </c>
      <c r="B29" s="53" t="s">
        <v>147</v>
      </c>
      <c r="C29" s="18" t="s">
        <v>25</v>
      </c>
      <c r="D29" s="47">
        <v>50205612007</v>
      </c>
      <c r="E29" s="18" t="s">
        <v>148</v>
      </c>
      <c r="F29" s="26" t="s">
        <v>27</v>
      </c>
      <c r="G29" s="18" t="s">
        <v>28</v>
      </c>
      <c r="H29" s="18" t="s">
        <v>37</v>
      </c>
      <c r="I29" s="55">
        <v>9002071085</v>
      </c>
      <c r="J29" s="36">
        <v>7003325559</v>
      </c>
      <c r="K29" s="18" t="s">
        <v>30</v>
      </c>
      <c r="L29" s="18" t="s">
        <v>76</v>
      </c>
      <c r="M29" s="27">
        <v>31506</v>
      </c>
      <c r="N29" s="27">
        <v>53447</v>
      </c>
      <c r="O29" s="27">
        <v>46021</v>
      </c>
      <c r="P29" s="19">
        <v>45826</v>
      </c>
      <c r="Q29" s="27">
        <v>45842</v>
      </c>
      <c r="R29" s="33"/>
      <c r="S29" s="21" t="s">
        <v>149</v>
      </c>
      <c r="T29" s="21" t="s">
        <v>150</v>
      </c>
      <c r="U29" s="21" t="s">
        <v>151</v>
      </c>
      <c r="V29" s="8">
        <f t="shared" si="4"/>
        <v>11</v>
      </c>
      <c r="W29" s="8"/>
      <c r="X29" s="29">
        <f t="shared" ca="1" si="6"/>
        <v>39</v>
      </c>
      <c r="Y29" s="8"/>
      <c r="Z29" s="8"/>
      <c r="AA29" s="8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39" ht="15.75" customHeight="1">
      <c r="A30" s="11">
        <v>34</v>
      </c>
      <c r="B30" s="49" t="s">
        <v>152</v>
      </c>
      <c r="C30" s="13" t="s">
        <v>25</v>
      </c>
      <c r="D30" s="25">
        <v>50200116079</v>
      </c>
      <c r="E30" s="22" t="s">
        <v>153</v>
      </c>
      <c r="F30" s="37" t="s">
        <v>27</v>
      </c>
      <c r="G30" s="18" t="s">
        <v>36</v>
      </c>
      <c r="H30" s="18" t="s">
        <v>37</v>
      </c>
      <c r="I30" s="18">
        <v>9002071068</v>
      </c>
      <c r="J30" s="30">
        <v>9002071068</v>
      </c>
      <c r="K30" s="18" t="s">
        <v>30</v>
      </c>
      <c r="L30" s="56" t="s">
        <v>58</v>
      </c>
      <c r="M30" s="27">
        <v>29958</v>
      </c>
      <c r="N30" s="27">
        <v>51897</v>
      </c>
      <c r="O30" s="27">
        <v>45192</v>
      </c>
      <c r="P30" s="27">
        <v>45257</v>
      </c>
      <c r="Q30" s="27">
        <v>45242</v>
      </c>
      <c r="R30" s="38"/>
      <c r="S30" s="7"/>
      <c r="T30" s="21" t="s">
        <v>154</v>
      </c>
      <c r="U30" s="21" t="s">
        <v>155</v>
      </c>
      <c r="V30" s="8">
        <f t="shared" si="4"/>
        <v>11</v>
      </c>
      <c r="W30" s="29">
        <f ca="1">INT((TODAY()-M30)/365)</f>
        <v>44</v>
      </c>
      <c r="X30" s="8"/>
      <c r="Y30" s="8"/>
      <c r="Z30" s="8"/>
      <c r="AA30" s="9"/>
      <c r="AB30" s="9"/>
      <c r="AC30" s="9"/>
      <c r="AD30" s="9"/>
      <c r="AE30" s="9"/>
      <c r="AH30" s="9"/>
      <c r="AI30" s="9"/>
      <c r="AJ30" s="9"/>
      <c r="AK30" s="9"/>
      <c r="AL30" s="9"/>
      <c r="AM30" s="9"/>
    </row>
    <row r="31" spans="1:39" ht="15.75" customHeight="1">
      <c r="A31" s="11">
        <v>32</v>
      </c>
      <c r="B31" s="57" t="s">
        <v>156</v>
      </c>
      <c r="C31" s="13" t="s">
        <v>25</v>
      </c>
      <c r="D31" s="35">
        <v>50205602452</v>
      </c>
      <c r="E31" s="13" t="s">
        <v>157</v>
      </c>
      <c r="F31" s="15" t="s">
        <v>27</v>
      </c>
      <c r="G31" s="16" t="s">
        <v>36</v>
      </c>
      <c r="H31" s="13" t="s">
        <v>29</v>
      </c>
      <c r="I31" s="13">
        <v>9002071220</v>
      </c>
      <c r="J31" s="17">
        <v>9153559093</v>
      </c>
      <c r="K31" s="18" t="s">
        <v>30</v>
      </c>
      <c r="L31" s="13" t="s">
        <v>31</v>
      </c>
      <c r="M31" s="19">
        <v>31835</v>
      </c>
      <c r="N31" s="19">
        <v>53751</v>
      </c>
      <c r="O31" s="19">
        <v>45762</v>
      </c>
      <c r="P31" s="27">
        <v>45552</v>
      </c>
      <c r="Q31" s="19">
        <v>45591</v>
      </c>
      <c r="R31" s="26"/>
      <c r="S31" s="20"/>
      <c r="T31" s="21" t="s">
        <v>158</v>
      </c>
      <c r="U31" s="21" t="s">
        <v>159</v>
      </c>
      <c r="V31" s="20">
        <f t="shared" si="4"/>
        <v>11</v>
      </c>
      <c r="W31" s="22"/>
      <c r="X31" s="22"/>
      <c r="Y31" s="23"/>
      <c r="Z31" s="23"/>
    </row>
    <row r="32" spans="1:39" ht="15.75" customHeight="1">
      <c r="A32" s="11">
        <v>68</v>
      </c>
      <c r="B32" s="57" t="s">
        <v>160</v>
      </c>
      <c r="C32" s="13" t="s">
        <v>25</v>
      </c>
      <c r="D32" s="14">
        <v>50212548730</v>
      </c>
      <c r="E32" s="58" t="s">
        <v>161</v>
      </c>
      <c r="F32" s="26" t="s">
        <v>27</v>
      </c>
      <c r="G32" s="16" t="s">
        <v>28</v>
      </c>
      <c r="H32" s="18" t="s">
        <v>29</v>
      </c>
      <c r="I32" s="13">
        <v>9002071723</v>
      </c>
      <c r="J32" s="13">
        <v>9002071723</v>
      </c>
      <c r="K32" s="18" t="s">
        <v>30</v>
      </c>
      <c r="L32" s="13" t="s">
        <v>31</v>
      </c>
      <c r="M32" s="19">
        <v>24488</v>
      </c>
      <c r="N32" s="19">
        <v>46418</v>
      </c>
      <c r="O32" s="19">
        <v>45279</v>
      </c>
      <c r="P32" s="27">
        <v>45487</v>
      </c>
      <c r="Q32" s="27">
        <v>45509</v>
      </c>
      <c r="R32" s="23"/>
      <c r="S32" s="20"/>
      <c r="T32" s="21" t="s">
        <v>162</v>
      </c>
      <c r="U32" s="21" t="s">
        <v>162</v>
      </c>
      <c r="V32" s="20">
        <f t="shared" si="4"/>
        <v>11</v>
      </c>
      <c r="W32" s="22"/>
      <c r="X32" s="29">
        <f t="shared" ref="X32:X33" ca="1" si="7">INT((TODAY()-M32)/365)</f>
        <v>59</v>
      </c>
      <c r="Y32" s="8"/>
      <c r="Z32" s="8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1:39" ht="14.25" customHeight="1">
      <c r="A33" s="59">
        <v>142</v>
      </c>
      <c r="B33" s="53" t="s">
        <v>163</v>
      </c>
      <c r="C33" s="18" t="s">
        <v>25</v>
      </c>
      <c r="D33" s="25">
        <v>50205611957</v>
      </c>
      <c r="E33" s="18" t="s">
        <v>164</v>
      </c>
      <c r="F33" s="26" t="s">
        <v>27</v>
      </c>
      <c r="G33" s="18" t="s">
        <v>28</v>
      </c>
      <c r="H33" s="18" t="s">
        <v>37</v>
      </c>
      <c r="I33" s="50">
        <v>9002071014</v>
      </c>
      <c r="J33" s="51"/>
      <c r="K33" s="18" t="s">
        <v>30</v>
      </c>
      <c r="L33" s="18" t="s">
        <v>31</v>
      </c>
      <c r="M33" s="27">
        <v>31486</v>
      </c>
      <c r="N33" s="27">
        <v>53417</v>
      </c>
      <c r="O33" s="27">
        <v>46035</v>
      </c>
      <c r="P33" s="27">
        <v>45280</v>
      </c>
      <c r="Q33" s="27">
        <v>45842</v>
      </c>
      <c r="R33" s="33"/>
      <c r="S33" s="21" t="s">
        <v>165</v>
      </c>
      <c r="T33" s="21" t="s">
        <v>166</v>
      </c>
      <c r="U33" s="21" t="s">
        <v>167</v>
      </c>
      <c r="V33" s="8">
        <f t="shared" si="4"/>
        <v>11</v>
      </c>
      <c r="W33" s="8"/>
      <c r="X33" s="29">
        <f t="shared" ca="1" si="7"/>
        <v>40</v>
      </c>
      <c r="Y33" s="8"/>
      <c r="Z33" s="8"/>
      <c r="AA33" s="8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spans="1:39" ht="15.75" customHeight="1">
      <c r="A34" s="11">
        <v>81</v>
      </c>
      <c r="B34" s="57" t="s">
        <v>168</v>
      </c>
      <c r="C34" s="13" t="s">
        <v>25</v>
      </c>
      <c r="D34" s="35">
        <v>50205602415</v>
      </c>
      <c r="E34" s="4" t="s">
        <v>169</v>
      </c>
      <c r="F34" s="15" t="s">
        <v>27</v>
      </c>
      <c r="G34" s="16" t="s">
        <v>28</v>
      </c>
      <c r="H34" s="13" t="s">
        <v>29</v>
      </c>
      <c r="I34" s="13">
        <v>9002071078</v>
      </c>
      <c r="J34" s="13"/>
      <c r="K34" s="18" t="s">
        <v>30</v>
      </c>
      <c r="L34" s="13" t="s">
        <v>76</v>
      </c>
      <c r="M34" s="19">
        <v>32384</v>
      </c>
      <c r="N34" s="19">
        <v>54301</v>
      </c>
      <c r="O34" s="19">
        <v>45767</v>
      </c>
      <c r="P34" s="28">
        <v>45695</v>
      </c>
      <c r="Q34" s="28">
        <v>45622</v>
      </c>
      <c r="R34" s="20"/>
      <c r="S34" s="20"/>
      <c r="T34" s="21" t="s">
        <v>170</v>
      </c>
      <c r="U34" s="21" t="s">
        <v>171</v>
      </c>
      <c r="V34" s="20">
        <f t="shared" si="4"/>
        <v>11</v>
      </c>
      <c r="W34" s="22"/>
      <c r="X34" s="22"/>
      <c r="Y34" s="23"/>
      <c r="Z34" s="23"/>
      <c r="AF34" s="9"/>
      <c r="AG34" s="9"/>
      <c r="AH34" s="9"/>
      <c r="AI34" s="9"/>
      <c r="AJ34" s="9"/>
      <c r="AK34" s="9"/>
      <c r="AL34" s="9"/>
      <c r="AM34" s="9"/>
    </row>
    <row r="35" spans="1:39" ht="15.75" customHeight="1">
      <c r="A35" s="60"/>
      <c r="B35" s="53" t="s">
        <v>172</v>
      </c>
      <c r="C35" s="18" t="s">
        <v>25</v>
      </c>
      <c r="D35" s="25">
        <v>50200162565</v>
      </c>
      <c r="E35" s="18" t="s">
        <v>173</v>
      </c>
      <c r="F35" s="26" t="s">
        <v>27</v>
      </c>
      <c r="G35" s="18" t="s">
        <v>28</v>
      </c>
      <c r="H35" s="18" t="s">
        <v>37</v>
      </c>
      <c r="I35" s="18">
        <v>9002071386</v>
      </c>
      <c r="J35" s="36">
        <v>9635311180</v>
      </c>
      <c r="K35" s="18" t="s">
        <v>30</v>
      </c>
      <c r="L35" s="18" t="s">
        <v>46</v>
      </c>
      <c r="M35" s="27">
        <v>32445</v>
      </c>
      <c r="N35" s="27">
        <v>54362</v>
      </c>
      <c r="O35" s="27">
        <v>46061</v>
      </c>
      <c r="P35" s="27">
        <v>45305</v>
      </c>
      <c r="Q35" s="28">
        <v>45284</v>
      </c>
      <c r="R35" s="7"/>
      <c r="S35" s="7"/>
      <c r="T35" s="21" t="s">
        <v>174</v>
      </c>
      <c r="U35" s="21" t="s">
        <v>175</v>
      </c>
      <c r="V35" s="8">
        <f t="shared" si="4"/>
        <v>11</v>
      </c>
      <c r="W35" s="8"/>
      <c r="X35" s="29">
        <f ca="1">INT((TODAY()-M35)/365)</f>
        <v>37</v>
      </c>
      <c r="Y35" s="8"/>
      <c r="Z35" s="8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spans="1:39" ht="15.75" customHeight="1">
      <c r="A36" s="61">
        <v>107</v>
      </c>
      <c r="B36" s="53" t="s">
        <v>176</v>
      </c>
      <c r="C36" s="13" t="s">
        <v>25</v>
      </c>
      <c r="D36" s="47">
        <v>50205607802</v>
      </c>
      <c r="E36" s="22" t="s">
        <v>177</v>
      </c>
      <c r="F36" s="37" t="s">
        <v>27</v>
      </c>
      <c r="G36" s="30" t="s">
        <v>36</v>
      </c>
      <c r="H36" s="18" t="s">
        <v>37</v>
      </c>
      <c r="I36" s="30">
        <v>9002071839</v>
      </c>
      <c r="J36" s="30">
        <v>9002071839</v>
      </c>
      <c r="K36" s="18" t="s">
        <v>30</v>
      </c>
      <c r="L36" s="18" t="s">
        <v>76</v>
      </c>
      <c r="M36" s="27">
        <v>32779</v>
      </c>
      <c r="N36" s="27">
        <v>54696</v>
      </c>
      <c r="O36" s="27">
        <v>45957</v>
      </c>
      <c r="P36" s="19">
        <v>45391</v>
      </c>
      <c r="Q36" s="27">
        <v>45373</v>
      </c>
      <c r="R36" s="33"/>
      <c r="S36" s="7"/>
      <c r="T36" s="21" t="s">
        <v>178</v>
      </c>
      <c r="U36" s="21" t="s">
        <v>179</v>
      </c>
      <c r="V36" s="8">
        <f t="shared" si="4"/>
        <v>11</v>
      </c>
      <c r="W36" s="29">
        <f t="shared" ref="W36:W39" ca="1" si="8">INT((TODAY()-M36)/365)</f>
        <v>36</v>
      </c>
      <c r="X36" s="8"/>
      <c r="Y36" s="8"/>
      <c r="Z36" s="8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</row>
    <row r="37" spans="1:39" ht="15.75" customHeight="1">
      <c r="A37" s="62">
        <v>13</v>
      </c>
      <c r="B37" s="53" t="s">
        <v>180</v>
      </c>
      <c r="C37" s="13" t="s">
        <v>25</v>
      </c>
      <c r="D37" s="36">
        <v>50205613322</v>
      </c>
      <c r="E37" s="63" t="s">
        <v>181</v>
      </c>
      <c r="F37" s="26" t="s">
        <v>27</v>
      </c>
      <c r="G37" s="30" t="s">
        <v>36</v>
      </c>
      <c r="H37" s="30" t="s">
        <v>37</v>
      </c>
      <c r="I37" s="50">
        <v>9002071058</v>
      </c>
      <c r="J37" s="30">
        <v>7797106155</v>
      </c>
      <c r="K37" s="18" t="s">
        <v>30</v>
      </c>
      <c r="L37" s="18" t="s">
        <v>46</v>
      </c>
      <c r="M37" s="27">
        <v>32263</v>
      </c>
      <c r="N37" s="64">
        <v>54178</v>
      </c>
      <c r="O37" s="27">
        <v>46147</v>
      </c>
      <c r="P37" s="27">
        <v>45552</v>
      </c>
      <c r="Q37" s="65">
        <v>45385</v>
      </c>
      <c r="R37" s="66" t="s">
        <v>182</v>
      </c>
      <c r="S37" s="33"/>
      <c r="T37" s="66" t="s">
        <v>183</v>
      </c>
      <c r="U37" s="66" t="s">
        <v>184</v>
      </c>
      <c r="V37" s="67">
        <f>LEN(TEXT(D37,0))</f>
        <v>11</v>
      </c>
      <c r="W37" s="29">
        <f t="shared" ca="1" si="8"/>
        <v>37</v>
      </c>
      <c r="X37" s="8"/>
      <c r="Y37" s="8"/>
      <c r="Z37" s="8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spans="1:39" ht="15.75" customHeight="1">
      <c r="A38" s="62">
        <v>57</v>
      </c>
      <c r="B38" s="49" t="s">
        <v>185</v>
      </c>
      <c r="C38" s="13" t="s">
        <v>25</v>
      </c>
      <c r="D38" s="47">
        <v>50205613383</v>
      </c>
      <c r="E38" s="68" t="s">
        <v>186</v>
      </c>
      <c r="F38" s="26" t="s">
        <v>27</v>
      </c>
      <c r="G38" s="18" t="s">
        <v>36</v>
      </c>
      <c r="H38" s="30" t="s">
        <v>37</v>
      </c>
      <c r="I38" s="55">
        <v>9002071804</v>
      </c>
      <c r="J38" s="18">
        <v>6295138905</v>
      </c>
      <c r="K38" s="18" t="s">
        <v>30</v>
      </c>
      <c r="L38" s="18" t="s">
        <v>76</v>
      </c>
      <c r="M38" s="27">
        <v>30484</v>
      </c>
      <c r="N38" s="27">
        <v>52412</v>
      </c>
      <c r="O38" s="27">
        <v>46082</v>
      </c>
      <c r="P38" s="27">
        <v>45522</v>
      </c>
      <c r="Q38" s="27">
        <v>45409</v>
      </c>
      <c r="R38" s="7"/>
      <c r="S38" s="21" t="s">
        <v>187</v>
      </c>
      <c r="T38" s="21" t="s">
        <v>188</v>
      </c>
      <c r="U38" s="21" t="s">
        <v>189</v>
      </c>
      <c r="V38" s="8">
        <f t="shared" ref="V38:V47" si="9">LEN(D38)</f>
        <v>11</v>
      </c>
      <c r="W38" s="29">
        <f t="shared" ca="1" si="8"/>
        <v>42</v>
      </c>
      <c r="X38" s="8"/>
      <c r="Y38" s="8"/>
      <c r="Z38" s="8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 spans="1:39" ht="15.75" customHeight="1">
      <c r="A39" s="62">
        <v>44</v>
      </c>
      <c r="B39" s="49" t="s">
        <v>190</v>
      </c>
      <c r="C39" s="13" t="s">
        <v>25</v>
      </c>
      <c r="D39" s="25">
        <v>50200150605</v>
      </c>
      <c r="E39" s="68" t="s">
        <v>191</v>
      </c>
      <c r="F39" s="26" t="s">
        <v>27</v>
      </c>
      <c r="G39" s="18" t="s">
        <v>36</v>
      </c>
      <c r="H39" s="30" t="s">
        <v>37</v>
      </c>
      <c r="I39" s="22">
        <v>9002071859</v>
      </c>
      <c r="J39" s="18">
        <v>7908525335</v>
      </c>
      <c r="K39" s="18" t="s">
        <v>30</v>
      </c>
      <c r="L39" s="18" t="s">
        <v>76</v>
      </c>
      <c r="M39" s="27">
        <v>29042</v>
      </c>
      <c r="N39" s="27">
        <v>50982</v>
      </c>
      <c r="O39" s="27">
        <v>45479</v>
      </c>
      <c r="P39" s="27">
        <v>45522</v>
      </c>
      <c r="Q39" s="28">
        <v>45409</v>
      </c>
      <c r="R39" s="69" t="s">
        <v>192</v>
      </c>
      <c r="S39" s="7"/>
      <c r="T39" s="21" t="s">
        <v>193</v>
      </c>
      <c r="U39" s="21" t="s">
        <v>194</v>
      </c>
      <c r="V39" s="8">
        <f t="shared" si="9"/>
        <v>11</v>
      </c>
      <c r="W39" s="29">
        <f t="shared" ca="1" si="8"/>
        <v>46</v>
      </c>
      <c r="X39" s="22"/>
      <c r="Y39" s="8"/>
      <c r="Z39" s="8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spans="1:39" ht="15.75" customHeight="1">
      <c r="A40" s="59">
        <v>147</v>
      </c>
      <c r="B40" s="49" t="s">
        <v>195</v>
      </c>
      <c r="C40" s="18" t="s">
        <v>25</v>
      </c>
      <c r="D40" s="25">
        <v>50205611969</v>
      </c>
      <c r="E40" s="18" t="s">
        <v>196</v>
      </c>
      <c r="F40" s="26" t="s">
        <v>27</v>
      </c>
      <c r="G40" s="18" t="s">
        <v>28</v>
      </c>
      <c r="H40" s="18" t="s">
        <v>37</v>
      </c>
      <c r="I40" s="18">
        <v>9002071346</v>
      </c>
      <c r="J40" s="23"/>
      <c r="K40" s="18" t="s">
        <v>30</v>
      </c>
      <c r="L40" s="18" t="s">
        <v>31</v>
      </c>
      <c r="M40" s="27">
        <v>30985</v>
      </c>
      <c r="N40" s="27">
        <v>52900</v>
      </c>
      <c r="O40" s="27">
        <v>46013</v>
      </c>
      <c r="P40" s="19">
        <v>45913</v>
      </c>
      <c r="Q40" s="27">
        <v>45928</v>
      </c>
      <c r="R40" s="7"/>
      <c r="S40" s="7"/>
      <c r="T40" s="21" t="s">
        <v>197</v>
      </c>
      <c r="U40" s="21" t="s">
        <v>198</v>
      </c>
      <c r="V40" s="8">
        <f t="shared" si="9"/>
        <v>11</v>
      </c>
      <c r="W40" s="7" t="s">
        <v>199</v>
      </c>
      <c r="X40" s="29">
        <f t="shared" ref="X40:X43" ca="1" si="10">INT((TODAY()-M40)/365)</f>
        <v>41</v>
      </c>
      <c r="Y40" s="8"/>
      <c r="Z40" s="8"/>
      <c r="AA40" s="9"/>
      <c r="AB40" s="9"/>
    </row>
    <row r="41" spans="1:39" ht="15.75" customHeight="1">
      <c r="A41" s="59">
        <v>148</v>
      </c>
      <c r="B41" s="53" t="s">
        <v>200</v>
      </c>
      <c r="C41" s="18" t="s">
        <v>25</v>
      </c>
      <c r="D41" s="25">
        <v>50205612123</v>
      </c>
      <c r="E41" s="18" t="s">
        <v>201</v>
      </c>
      <c r="F41" s="26" t="s">
        <v>27</v>
      </c>
      <c r="G41" s="18" t="s">
        <v>28</v>
      </c>
      <c r="H41" s="18" t="s">
        <v>37</v>
      </c>
      <c r="I41" s="18">
        <v>8240398724</v>
      </c>
      <c r="J41" s="23"/>
      <c r="K41" s="18" t="s">
        <v>30</v>
      </c>
      <c r="L41" s="70" t="s">
        <v>31</v>
      </c>
      <c r="M41" s="27">
        <v>30327</v>
      </c>
      <c r="N41" s="27">
        <v>52262</v>
      </c>
      <c r="O41" s="27">
        <v>46104</v>
      </c>
      <c r="P41" s="27">
        <v>45305</v>
      </c>
      <c r="Q41" s="27">
        <v>45258</v>
      </c>
      <c r="R41" s="33"/>
      <c r="S41" s="7"/>
      <c r="T41" s="21" t="s">
        <v>202</v>
      </c>
      <c r="U41" s="7"/>
      <c r="V41" s="8">
        <f t="shared" si="9"/>
        <v>11</v>
      </c>
      <c r="W41" s="8"/>
      <c r="X41" s="29">
        <f t="shared" ca="1" si="10"/>
        <v>43</v>
      </c>
      <c r="Y41" s="8"/>
      <c r="Z41" s="8"/>
      <c r="AA41" s="71"/>
      <c r="AB41" s="9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1:39" ht="15.75" customHeight="1">
      <c r="A42" s="59">
        <v>149</v>
      </c>
      <c r="B42" s="72" t="s">
        <v>203</v>
      </c>
      <c r="C42" s="18" t="s">
        <v>25</v>
      </c>
      <c r="D42" s="25">
        <v>50205612135</v>
      </c>
      <c r="E42" s="18" t="s">
        <v>204</v>
      </c>
      <c r="F42" s="26" t="s">
        <v>27</v>
      </c>
      <c r="G42" s="18" t="s">
        <v>28</v>
      </c>
      <c r="H42" s="18" t="s">
        <v>37</v>
      </c>
      <c r="I42" s="50">
        <v>8944090990</v>
      </c>
      <c r="J42" s="18">
        <v>6296318629</v>
      </c>
      <c r="K42" s="18" t="s">
        <v>30</v>
      </c>
      <c r="L42" s="18" t="s">
        <v>46</v>
      </c>
      <c r="M42" s="27">
        <v>30487</v>
      </c>
      <c r="N42" s="27">
        <v>52412</v>
      </c>
      <c r="O42" s="27">
        <v>46062</v>
      </c>
      <c r="P42" s="27">
        <v>45305</v>
      </c>
      <c r="Q42" s="28">
        <v>45284</v>
      </c>
      <c r="R42" s="66" t="s">
        <v>205</v>
      </c>
      <c r="S42" s="21" t="s">
        <v>205</v>
      </c>
      <c r="T42" s="21" t="s">
        <v>206</v>
      </c>
      <c r="U42" s="7"/>
      <c r="V42" s="8">
        <f t="shared" si="9"/>
        <v>11</v>
      </c>
      <c r="W42" s="8"/>
      <c r="X42" s="29">
        <f t="shared" ca="1" si="10"/>
        <v>42</v>
      </c>
      <c r="Y42" s="8"/>
      <c r="Z42" s="8"/>
      <c r="AA42" s="9"/>
      <c r="AB42" s="9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  <row r="43" spans="1:39" ht="15.75" customHeight="1">
      <c r="A43" s="59">
        <v>157</v>
      </c>
      <c r="B43" s="49" t="s">
        <v>207</v>
      </c>
      <c r="C43" s="13" t="s">
        <v>25</v>
      </c>
      <c r="D43" s="73">
        <v>50205602982</v>
      </c>
      <c r="E43" s="18" t="s">
        <v>208</v>
      </c>
      <c r="F43" s="26" t="s">
        <v>27</v>
      </c>
      <c r="G43" s="18" t="s">
        <v>36</v>
      </c>
      <c r="H43" s="18" t="s">
        <v>37</v>
      </c>
      <c r="I43" s="18">
        <v>9002071351</v>
      </c>
      <c r="J43" s="30">
        <v>9547158907</v>
      </c>
      <c r="K43" s="18" t="s">
        <v>30</v>
      </c>
      <c r="L43" s="18" t="s">
        <v>58</v>
      </c>
      <c r="M43" s="27">
        <v>31779</v>
      </c>
      <c r="N43" s="27">
        <v>53723</v>
      </c>
      <c r="O43" s="27">
        <v>45837</v>
      </c>
      <c r="P43" s="27">
        <v>46133</v>
      </c>
      <c r="Q43" s="27">
        <v>45002</v>
      </c>
      <c r="R43" s="33"/>
      <c r="S43" s="21" t="s">
        <v>209</v>
      </c>
      <c r="T43" s="21" t="s">
        <v>210</v>
      </c>
      <c r="U43" s="7"/>
      <c r="V43" s="8">
        <f t="shared" si="9"/>
        <v>11</v>
      </c>
      <c r="W43" s="8"/>
      <c r="X43" s="29">
        <f t="shared" ca="1" si="10"/>
        <v>39</v>
      </c>
      <c r="Y43" s="8"/>
      <c r="Z43" s="8"/>
      <c r="AA43" s="8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</row>
    <row r="44" spans="1:39" ht="15.75" customHeight="1">
      <c r="A44" s="62">
        <v>9</v>
      </c>
      <c r="B44" s="49" t="s">
        <v>211</v>
      </c>
      <c r="C44" s="13" t="s">
        <v>25</v>
      </c>
      <c r="D44" s="73">
        <v>50205613292</v>
      </c>
      <c r="E44" s="68" t="s">
        <v>212</v>
      </c>
      <c r="F44" s="37" t="s">
        <v>27</v>
      </c>
      <c r="G44" s="18" t="s">
        <v>36</v>
      </c>
      <c r="H44" s="18" t="s">
        <v>37</v>
      </c>
      <c r="I44" s="18">
        <v>9933054537</v>
      </c>
      <c r="J44" s="18">
        <v>9933054537</v>
      </c>
      <c r="K44" s="18" t="s">
        <v>30</v>
      </c>
      <c r="L44" s="18" t="s">
        <v>76</v>
      </c>
      <c r="M44" s="27">
        <v>30022</v>
      </c>
      <c r="N44" s="27">
        <v>51956</v>
      </c>
      <c r="O44" s="27">
        <v>46152</v>
      </c>
      <c r="P44" s="19">
        <v>45499</v>
      </c>
      <c r="Q44" s="28">
        <v>45328</v>
      </c>
      <c r="R44" s="33"/>
      <c r="S44" s="7"/>
      <c r="T44" s="21" t="s">
        <v>213</v>
      </c>
      <c r="U44" s="7"/>
      <c r="V44" s="7">
        <f t="shared" si="9"/>
        <v>11</v>
      </c>
      <c r="W44" s="29">
        <f ca="1">INT((TODAY()-M44)/365)</f>
        <v>44</v>
      </c>
      <c r="X44" s="8"/>
      <c r="Y44" s="8"/>
      <c r="Z44" s="8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 spans="1:39">
      <c r="A45" s="59">
        <v>84</v>
      </c>
      <c r="B45" s="53" t="s">
        <v>214</v>
      </c>
      <c r="C45" s="18" t="s">
        <v>25</v>
      </c>
      <c r="D45" s="74">
        <v>50205618940</v>
      </c>
      <c r="E45" s="18" t="s">
        <v>215</v>
      </c>
      <c r="F45" s="26" t="s">
        <v>27</v>
      </c>
      <c r="G45" s="18" t="s">
        <v>216</v>
      </c>
      <c r="H45" s="18" t="s">
        <v>37</v>
      </c>
      <c r="I45" s="18">
        <v>9679626217</v>
      </c>
      <c r="J45" s="18"/>
      <c r="K45" s="18" t="s">
        <v>30</v>
      </c>
      <c r="L45" s="18" t="s">
        <v>63</v>
      </c>
      <c r="M45" s="27">
        <v>31487</v>
      </c>
      <c r="N45" s="27">
        <v>53417</v>
      </c>
      <c r="O45" s="75">
        <v>46295</v>
      </c>
      <c r="P45" s="19">
        <v>46186</v>
      </c>
      <c r="Q45" s="27">
        <v>45928</v>
      </c>
      <c r="R45" s="26"/>
      <c r="S45" s="26"/>
      <c r="T45" s="21" t="s">
        <v>217</v>
      </c>
      <c r="U45" s="26"/>
      <c r="V45" s="23">
        <f t="shared" si="9"/>
        <v>11</v>
      </c>
      <c r="W45" s="23"/>
      <c r="X45" s="29">
        <f t="shared" ref="X45:X46" ca="1" si="11">INT((TODAY()-M45)/365)</f>
        <v>40</v>
      </c>
      <c r="Y45" s="8"/>
      <c r="Z45" s="8"/>
      <c r="AA45" s="8"/>
      <c r="AB45" s="8"/>
      <c r="AC45" s="67"/>
      <c r="AD45" s="67"/>
      <c r="AE45" s="67"/>
      <c r="AF45" s="67"/>
      <c r="AG45" s="67"/>
      <c r="AH45" s="67"/>
      <c r="AI45" s="45"/>
      <c r="AJ45" s="45"/>
      <c r="AK45" s="45"/>
      <c r="AL45" s="45"/>
      <c r="AM45" s="45"/>
    </row>
    <row r="46" spans="1:39" ht="15.75" customHeight="1">
      <c r="A46" s="61">
        <v>132</v>
      </c>
      <c r="B46" s="49" t="s">
        <v>218</v>
      </c>
      <c r="C46" s="13" t="s">
        <v>25</v>
      </c>
      <c r="D46" s="73">
        <v>50205606913</v>
      </c>
      <c r="E46" s="13" t="s">
        <v>219</v>
      </c>
      <c r="F46" s="26" t="s">
        <v>27</v>
      </c>
      <c r="G46" s="13" t="s">
        <v>28</v>
      </c>
      <c r="H46" s="18" t="s">
        <v>37</v>
      </c>
      <c r="I46" s="18">
        <v>9002071817</v>
      </c>
      <c r="J46" s="30">
        <v>9002071817</v>
      </c>
      <c r="K46" s="18" t="s">
        <v>30</v>
      </c>
      <c r="L46" s="18" t="s">
        <v>31</v>
      </c>
      <c r="M46" s="27">
        <v>31156</v>
      </c>
      <c r="N46" s="27">
        <v>53082</v>
      </c>
      <c r="O46" s="27">
        <v>45838</v>
      </c>
      <c r="P46" s="27">
        <v>45131</v>
      </c>
      <c r="Q46" s="27">
        <v>45127</v>
      </c>
      <c r="R46" s="7"/>
      <c r="S46" s="21" t="s">
        <v>220</v>
      </c>
      <c r="T46" s="21" t="s">
        <v>221</v>
      </c>
      <c r="U46" s="21" t="s">
        <v>222</v>
      </c>
      <c r="V46" s="8">
        <f t="shared" si="9"/>
        <v>11</v>
      </c>
      <c r="W46" s="8"/>
      <c r="X46" s="29">
        <f t="shared" ca="1" si="11"/>
        <v>40</v>
      </c>
      <c r="Y46" s="8"/>
      <c r="Z46" s="8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 spans="1:39" ht="15.75" customHeight="1">
      <c r="A47" s="76">
        <v>124</v>
      </c>
      <c r="B47" s="49" t="s">
        <v>223</v>
      </c>
      <c r="C47" s="18" t="s">
        <v>25</v>
      </c>
      <c r="D47" s="77" t="s">
        <v>224</v>
      </c>
      <c r="E47" s="68" t="s">
        <v>225</v>
      </c>
      <c r="F47" s="22" t="s">
        <v>27</v>
      </c>
      <c r="G47" s="13" t="s">
        <v>28</v>
      </c>
      <c r="H47" s="18" t="s">
        <v>37</v>
      </c>
      <c r="I47" s="18">
        <v>9477372239</v>
      </c>
      <c r="J47" s="18"/>
      <c r="K47" s="18" t="s">
        <v>30</v>
      </c>
      <c r="L47" s="18" t="s">
        <v>46</v>
      </c>
      <c r="M47" s="27">
        <v>30792</v>
      </c>
      <c r="N47" s="27">
        <v>52717</v>
      </c>
      <c r="O47" s="27">
        <v>46154</v>
      </c>
      <c r="P47" s="19">
        <v>45499</v>
      </c>
      <c r="Q47" s="65">
        <v>45385</v>
      </c>
      <c r="R47" s="78"/>
      <c r="S47" s="79" t="s">
        <v>226</v>
      </c>
      <c r="T47" s="80" t="s">
        <v>227</v>
      </c>
      <c r="U47" s="34"/>
      <c r="V47" s="34">
        <f t="shared" si="9"/>
        <v>11</v>
      </c>
      <c r="W47" s="44">
        <f ca="1">INT((TODAY()-M47)/365)</f>
        <v>41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 spans="1:39" ht="15.75" customHeight="1">
      <c r="A48" s="81">
        <v>1</v>
      </c>
      <c r="B48" s="39" t="s">
        <v>228</v>
      </c>
      <c r="C48" s="18" t="s">
        <v>229</v>
      </c>
      <c r="D48" s="52">
        <v>50200405698</v>
      </c>
      <c r="E48" s="48" t="s">
        <v>230</v>
      </c>
      <c r="F48" s="82" t="s">
        <v>27</v>
      </c>
      <c r="G48" s="30" t="s">
        <v>36</v>
      </c>
      <c r="H48" s="13"/>
      <c r="I48" s="18">
        <v>9064548354</v>
      </c>
      <c r="J48" s="83">
        <v>9832904970</v>
      </c>
      <c r="K48" s="18" t="s">
        <v>30</v>
      </c>
      <c r="L48" s="22" t="s">
        <v>63</v>
      </c>
      <c r="M48" s="27">
        <v>33212</v>
      </c>
      <c r="N48" s="27">
        <v>55153</v>
      </c>
      <c r="O48" s="27">
        <v>45852</v>
      </c>
      <c r="P48" s="27">
        <v>45996</v>
      </c>
      <c r="Q48" s="27">
        <v>46035</v>
      </c>
      <c r="R48" s="69" t="s">
        <v>231</v>
      </c>
      <c r="S48" s="21" t="s">
        <v>232</v>
      </c>
      <c r="T48" s="21" t="s">
        <v>233</v>
      </c>
      <c r="U48" s="7"/>
      <c r="V48" s="20"/>
      <c r="W48" s="8"/>
      <c r="X48" s="8"/>
      <c r="Y48" s="7"/>
      <c r="Z48" s="7"/>
      <c r="AA48" s="34"/>
    </row>
    <row r="49" spans="1:39" ht="15.75" customHeight="1">
      <c r="A49" s="81">
        <v>3</v>
      </c>
      <c r="B49" s="39" t="s">
        <v>234</v>
      </c>
      <c r="C49" s="18" t="s">
        <v>229</v>
      </c>
      <c r="D49" s="47">
        <v>50200406520</v>
      </c>
      <c r="E49" s="48" t="s">
        <v>235</v>
      </c>
      <c r="F49" s="82" t="s">
        <v>27</v>
      </c>
      <c r="G49" s="18" t="s">
        <v>28</v>
      </c>
      <c r="H49" s="13"/>
      <c r="I49" s="55">
        <v>8918768295</v>
      </c>
      <c r="J49" s="51">
        <v>8918768295</v>
      </c>
      <c r="K49" s="18" t="s">
        <v>30</v>
      </c>
      <c r="L49" s="22" t="s">
        <v>63</v>
      </c>
      <c r="M49" s="27">
        <v>31963</v>
      </c>
      <c r="N49" s="27">
        <v>53904</v>
      </c>
      <c r="O49" s="27">
        <v>46060</v>
      </c>
      <c r="P49" s="19">
        <v>45637</v>
      </c>
      <c r="Q49" s="27">
        <v>45602</v>
      </c>
      <c r="R49" s="69" t="s">
        <v>236</v>
      </c>
      <c r="S49" s="21" t="s">
        <v>237</v>
      </c>
      <c r="T49" s="21" t="s">
        <v>238</v>
      </c>
      <c r="U49" s="7"/>
      <c r="V49" s="20"/>
      <c r="W49" s="8"/>
      <c r="X49" s="8"/>
      <c r="Y49" s="8"/>
      <c r="Z49" s="8"/>
      <c r="AA49" s="8"/>
      <c r="AB49" s="9"/>
    </row>
    <row r="50" spans="1:39" ht="15.75" customHeight="1">
      <c r="A50" s="81">
        <v>4</v>
      </c>
      <c r="B50" s="39" t="s">
        <v>239</v>
      </c>
      <c r="C50" s="18" t="s">
        <v>229</v>
      </c>
      <c r="D50" s="25">
        <v>50200407448</v>
      </c>
      <c r="E50" s="13" t="s">
        <v>240</v>
      </c>
      <c r="F50" s="84" t="s">
        <v>27</v>
      </c>
      <c r="G50" s="18" t="s">
        <v>36</v>
      </c>
      <c r="H50" s="18"/>
      <c r="I50" s="18">
        <v>8597126566</v>
      </c>
      <c r="J50" s="23"/>
      <c r="K50" s="18" t="s">
        <v>30</v>
      </c>
      <c r="L50" s="22" t="s">
        <v>63</v>
      </c>
      <c r="M50" s="27">
        <v>32143</v>
      </c>
      <c r="N50" s="27">
        <v>54057</v>
      </c>
      <c r="O50" s="27">
        <v>46230</v>
      </c>
      <c r="P50" s="19">
        <v>45637</v>
      </c>
      <c r="Q50" s="27">
        <v>45602</v>
      </c>
      <c r="R50" s="69" t="s">
        <v>241</v>
      </c>
      <c r="S50" s="21" t="s">
        <v>242</v>
      </c>
      <c r="T50" s="21" t="s">
        <v>243</v>
      </c>
      <c r="U50" s="7"/>
      <c r="V50" s="20"/>
      <c r="W50" s="8"/>
      <c r="X50" s="29">
        <f ca="1">INT((TODAY()-M50)/365)</f>
        <v>38</v>
      </c>
      <c r="Y50" s="8"/>
      <c r="Z50" s="8"/>
      <c r="AA50" s="8"/>
    </row>
    <row r="51" spans="1:39" ht="15.75" customHeight="1">
      <c r="A51" s="81">
        <v>5</v>
      </c>
      <c r="B51" s="39" t="s">
        <v>244</v>
      </c>
      <c r="C51" s="18" t="s">
        <v>229</v>
      </c>
      <c r="D51" s="85" t="s">
        <v>245</v>
      </c>
      <c r="E51" s="22" t="s">
        <v>246</v>
      </c>
      <c r="F51" s="37" t="s">
        <v>27</v>
      </c>
      <c r="G51" s="30" t="s">
        <v>36</v>
      </c>
      <c r="H51" s="30"/>
      <c r="I51" s="18">
        <v>9681230926</v>
      </c>
      <c r="J51" s="86"/>
      <c r="K51" s="18" t="s">
        <v>30</v>
      </c>
      <c r="L51" s="13" t="s">
        <v>31</v>
      </c>
      <c r="M51" s="27">
        <v>30647</v>
      </c>
      <c r="N51" s="27">
        <v>52565</v>
      </c>
      <c r="O51" s="27">
        <v>45461</v>
      </c>
      <c r="P51" s="19">
        <v>45637</v>
      </c>
      <c r="Q51" s="27">
        <v>45602</v>
      </c>
      <c r="R51" s="69" t="s">
        <v>247</v>
      </c>
      <c r="S51" s="7"/>
      <c r="T51" s="21" t="s">
        <v>248</v>
      </c>
      <c r="U51" s="7"/>
      <c r="V51" s="8">
        <f>LEN(D51)</f>
        <v>11</v>
      </c>
      <c r="W51" s="8"/>
      <c r="X51" s="8"/>
      <c r="Y51" s="8"/>
      <c r="Z51" s="8"/>
      <c r="AA51" s="8"/>
      <c r="AB51" s="44">
        <f ca="1">INT((TODAY()-M51)/365)</f>
        <v>42</v>
      </c>
    </row>
    <row r="52" spans="1:39" ht="15.75" customHeight="1">
      <c r="A52" s="81">
        <v>6</v>
      </c>
      <c r="B52" s="39" t="s">
        <v>249</v>
      </c>
      <c r="C52" s="13" t="s">
        <v>250</v>
      </c>
      <c r="D52" s="52">
        <v>50205677816</v>
      </c>
      <c r="E52" s="13" t="s">
        <v>251</v>
      </c>
      <c r="F52" s="26" t="s">
        <v>27</v>
      </c>
      <c r="G52" s="18" t="s">
        <v>28</v>
      </c>
      <c r="H52" s="18"/>
      <c r="I52" s="18">
        <v>9641575177</v>
      </c>
      <c r="J52" s="51"/>
      <c r="K52" s="18" t="s">
        <v>30</v>
      </c>
      <c r="L52" s="13" t="s">
        <v>31</v>
      </c>
      <c r="M52" s="27">
        <v>33280</v>
      </c>
      <c r="N52" s="27">
        <v>55212</v>
      </c>
      <c r="O52" s="27">
        <v>46517</v>
      </c>
      <c r="P52" s="27">
        <v>45905</v>
      </c>
      <c r="Q52" s="27">
        <v>45951</v>
      </c>
      <c r="R52" s="69" t="s">
        <v>252</v>
      </c>
      <c r="S52" s="7"/>
      <c r="T52" s="26"/>
      <c r="U52" s="7"/>
      <c r="V52" s="20"/>
      <c r="W52" s="8"/>
      <c r="X52" s="29">
        <f ca="1">INT((TODAY()-M52)/365)</f>
        <v>35</v>
      </c>
      <c r="Y52" s="8"/>
      <c r="Z52" s="8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 spans="1:39" ht="15.75" customHeight="1">
      <c r="A53" s="81">
        <v>8</v>
      </c>
      <c r="B53" s="39" t="s">
        <v>253</v>
      </c>
      <c r="C53" s="13" t="s">
        <v>229</v>
      </c>
      <c r="D53" s="25">
        <v>50200165931</v>
      </c>
      <c r="E53" s="18" t="s">
        <v>254</v>
      </c>
      <c r="F53" s="37" t="s">
        <v>27</v>
      </c>
      <c r="G53" s="18" t="s">
        <v>36</v>
      </c>
      <c r="H53" s="18"/>
      <c r="I53" s="18">
        <v>9093443840</v>
      </c>
      <c r="J53" s="51">
        <v>9093443840</v>
      </c>
      <c r="K53" s="18" t="s">
        <v>30</v>
      </c>
      <c r="L53" s="18" t="s">
        <v>104</v>
      </c>
      <c r="M53" s="27">
        <v>31815</v>
      </c>
      <c r="N53" s="27">
        <v>53751</v>
      </c>
      <c r="O53" s="27">
        <v>46074</v>
      </c>
      <c r="P53" s="19">
        <v>45187</v>
      </c>
      <c r="Q53" s="27">
        <v>45833</v>
      </c>
      <c r="R53" s="69" t="s">
        <v>255</v>
      </c>
      <c r="S53" s="21" t="s">
        <v>256</v>
      </c>
      <c r="T53" s="21" t="s">
        <v>257</v>
      </c>
      <c r="U53" s="7"/>
      <c r="V53" s="8">
        <f t="shared" ref="V53:V54" si="12">LEN(D53)</f>
        <v>11</v>
      </c>
      <c r="W53" s="8"/>
      <c r="X53" s="8"/>
      <c r="Y53" s="40"/>
      <c r="Z53" s="23"/>
      <c r="AA53" s="45"/>
      <c r="AB53" s="9">
        <f t="shared" ref="AB53:AB54" ca="1" si="13">INT((TODAY()-M53)/365)</f>
        <v>39</v>
      </c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</row>
    <row r="54" spans="1:39" ht="15.75" customHeight="1">
      <c r="A54" s="81">
        <v>9</v>
      </c>
      <c r="B54" s="39" t="s">
        <v>258</v>
      </c>
      <c r="C54" s="13" t="s">
        <v>229</v>
      </c>
      <c r="D54" s="47">
        <v>50205677683</v>
      </c>
      <c r="E54" s="18" t="s">
        <v>259</v>
      </c>
      <c r="F54" s="37" t="s">
        <v>27</v>
      </c>
      <c r="G54" s="18" t="s">
        <v>36</v>
      </c>
      <c r="H54" s="18"/>
      <c r="I54" s="18">
        <v>7585006017</v>
      </c>
      <c r="J54" s="36">
        <v>8293538397</v>
      </c>
      <c r="K54" s="18" t="s">
        <v>30</v>
      </c>
      <c r="L54" s="87" t="s">
        <v>31</v>
      </c>
      <c r="M54" s="27">
        <v>34445</v>
      </c>
      <c r="N54" s="27">
        <v>56369</v>
      </c>
      <c r="O54" s="27">
        <v>45112</v>
      </c>
      <c r="P54" s="27">
        <v>45905</v>
      </c>
      <c r="Q54" s="27">
        <v>45860</v>
      </c>
      <c r="R54" s="69" t="s">
        <v>260</v>
      </c>
      <c r="S54" s="7"/>
      <c r="T54" s="7"/>
      <c r="U54" s="7"/>
      <c r="V54" s="8">
        <f t="shared" si="12"/>
        <v>11</v>
      </c>
      <c r="W54" s="8"/>
      <c r="X54" s="29">
        <f t="shared" ref="X54:X57" ca="1" si="14">INT((TODAY()-M54)/365)</f>
        <v>31</v>
      </c>
      <c r="Y54" s="22"/>
      <c r="Z54" s="23"/>
      <c r="AB54" s="9">
        <f t="shared" ca="1" si="13"/>
        <v>31</v>
      </c>
    </row>
    <row r="55" spans="1:39" ht="15.75" customHeight="1">
      <c r="A55" s="81">
        <v>10</v>
      </c>
      <c r="B55" s="24" t="s">
        <v>261</v>
      </c>
      <c r="C55" s="13" t="s">
        <v>229</v>
      </c>
      <c r="D55" s="47">
        <v>50205677920</v>
      </c>
      <c r="E55" s="13" t="s">
        <v>262</v>
      </c>
      <c r="F55" s="84" t="s">
        <v>27</v>
      </c>
      <c r="G55" s="18" t="s">
        <v>36</v>
      </c>
      <c r="H55" s="18"/>
      <c r="I55" s="18">
        <v>7679179284</v>
      </c>
      <c r="J55" s="51">
        <v>7679179284</v>
      </c>
      <c r="K55" s="18" t="s">
        <v>30</v>
      </c>
      <c r="L55" s="56" t="s">
        <v>58</v>
      </c>
      <c r="M55" s="27">
        <v>34320</v>
      </c>
      <c r="N55" s="27">
        <v>56249</v>
      </c>
      <c r="O55" s="27">
        <v>46510</v>
      </c>
      <c r="P55" s="27">
        <v>45905</v>
      </c>
      <c r="Q55" s="27">
        <v>44858</v>
      </c>
      <c r="R55" s="69" t="s">
        <v>263</v>
      </c>
      <c r="S55" s="7"/>
      <c r="T55" s="26"/>
      <c r="U55" s="7"/>
      <c r="V55" s="20"/>
      <c r="W55" s="8"/>
      <c r="X55" s="29">
        <f t="shared" ca="1" si="14"/>
        <v>32</v>
      </c>
      <c r="Y55" s="8"/>
      <c r="Z55" s="8"/>
      <c r="AA55" s="8"/>
      <c r="AB55" s="9"/>
    </row>
    <row r="56" spans="1:39" ht="15.75" customHeight="1">
      <c r="A56" s="81">
        <v>11</v>
      </c>
      <c r="B56" s="49" t="s">
        <v>264</v>
      </c>
      <c r="C56" s="13" t="s">
        <v>250</v>
      </c>
      <c r="D56" s="47">
        <v>50714504900</v>
      </c>
      <c r="E56" s="13" t="s">
        <v>265</v>
      </c>
      <c r="F56" s="37" t="s">
        <v>27</v>
      </c>
      <c r="G56" s="18" t="s">
        <v>28</v>
      </c>
      <c r="H56" s="18"/>
      <c r="I56" s="18">
        <v>6294014120</v>
      </c>
      <c r="J56" s="51">
        <v>6294014120</v>
      </c>
      <c r="K56" s="18" t="s">
        <v>30</v>
      </c>
      <c r="L56" s="87" t="s">
        <v>31</v>
      </c>
      <c r="M56" s="27">
        <v>29313</v>
      </c>
      <c r="N56" s="27">
        <v>51256</v>
      </c>
      <c r="O56" s="27">
        <v>45328</v>
      </c>
      <c r="P56" s="27">
        <v>45485</v>
      </c>
      <c r="Q56" s="28">
        <v>45496</v>
      </c>
      <c r="R56" s="69" t="s">
        <v>266</v>
      </c>
      <c r="S56" s="21" t="s">
        <v>267</v>
      </c>
      <c r="T56" s="7"/>
      <c r="U56" s="7"/>
      <c r="V56" s="20"/>
      <c r="W56" s="8"/>
      <c r="X56" s="29">
        <f t="shared" ca="1" si="14"/>
        <v>45</v>
      </c>
      <c r="Y56" s="8"/>
      <c r="Z56" s="8"/>
      <c r="AA56" s="9"/>
      <c r="AB56" s="9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</row>
    <row r="57" spans="1:39" ht="15.75" customHeight="1">
      <c r="A57" s="81">
        <v>12</v>
      </c>
      <c r="B57" s="49" t="s">
        <v>268</v>
      </c>
      <c r="C57" s="13" t="s">
        <v>250</v>
      </c>
      <c r="D57" s="47">
        <v>50205677660</v>
      </c>
      <c r="E57" s="17" t="s">
        <v>269</v>
      </c>
      <c r="F57" s="37" t="s">
        <v>27</v>
      </c>
      <c r="G57" s="30" t="s">
        <v>28</v>
      </c>
      <c r="H57" s="18"/>
      <c r="I57" s="30">
        <v>8967508023</v>
      </c>
      <c r="J57" s="36">
        <v>8967508023</v>
      </c>
      <c r="K57" s="18" t="s">
        <v>30</v>
      </c>
      <c r="L57" s="18" t="s">
        <v>270</v>
      </c>
      <c r="M57" s="27">
        <v>34985</v>
      </c>
      <c r="N57" s="27">
        <v>56918</v>
      </c>
      <c r="O57" s="27">
        <v>46526</v>
      </c>
      <c r="P57" s="27">
        <v>45287</v>
      </c>
      <c r="Q57" s="27">
        <v>45948</v>
      </c>
      <c r="R57" s="69" t="s">
        <v>271</v>
      </c>
      <c r="S57" s="21" t="s">
        <v>272</v>
      </c>
      <c r="T57" s="7"/>
      <c r="U57" s="7"/>
      <c r="V57" s="20"/>
      <c r="W57" s="8"/>
      <c r="X57" s="29">
        <f t="shared" ca="1" si="14"/>
        <v>30</v>
      </c>
      <c r="Y57" s="8"/>
      <c r="Z57" s="8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 spans="1:39" ht="15.75" customHeight="1">
      <c r="A58" s="81">
        <v>13</v>
      </c>
      <c r="B58" s="53" t="s">
        <v>273</v>
      </c>
      <c r="C58" s="13" t="s">
        <v>250</v>
      </c>
      <c r="D58" s="89">
        <v>50205677701</v>
      </c>
      <c r="E58" s="17" t="s">
        <v>274</v>
      </c>
      <c r="F58" s="37" t="s">
        <v>27</v>
      </c>
      <c r="G58" s="30" t="s">
        <v>28</v>
      </c>
      <c r="H58" s="18"/>
      <c r="I58" s="90">
        <v>8293141195</v>
      </c>
      <c r="J58" s="30" t="s">
        <v>275</v>
      </c>
      <c r="K58" s="18" t="s">
        <v>30</v>
      </c>
      <c r="L58" s="18" t="s">
        <v>270</v>
      </c>
      <c r="M58" s="27">
        <v>34578</v>
      </c>
      <c r="N58" s="27">
        <v>56492</v>
      </c>
      <c r="O58" s="75">
        <v>46526</v>
      </c>
      <c r="P58" s="27">
        <v>45996</v>
      </c>
      <c r="Q58" s="65">
        <v>45951</v>
      </c>
      <c r="R58" s="66" t="s">
        <v>276</v>
      </c>
      <c r="S58" s="91"/>
      <c r="T58" s="23"/>
      <c r="U58" s="23"/>
      <c r="V58" s="92"/>
      <c r="W58" s="92"/>
      <c r="X58" s="92"/>
      <c r="Y58" s="8"/>
      <c r="Z58" s="8"/>
      <c r="AA58" s="8"/>
      <c r="AB58" s="9"/>
    </row>
    <row r="59" spans="1:39" ht="15.75" customHeight="1">
      <c r="A59" s="81">
        <v>14</v>
      </c>
      <c r="B59" s="53" t="s">
        <v>277</v>
      </c>
      <c r="C59" s="13" t="s">
        <v>250</v>
      </c>
      <c r="D59" s="74">
        <v>50205677671</v>
      </c>
      <c r="E59" s="30" t="s">
        <v>278</v>
      </c>
      <c r="F59" s="37" t="s">
        <v>27</v>
      </c>
      <c r="G59" s="30" t="s">
        <v>28</v>
      </c>
      <c r="H59" s="18"/>
      <c r="I59" s="30">
        <v>9564179703</v>
      </c>
      <c r="J59" s="30">
        <v>9564179703</v>
      </c>
      <c r="K59" s="18" t="s">
        <v>30</v>
      </c>
      <c r="L59" s="18" t="s">
        <v>279</v>
      </c>
      <c r="M59" s="27">
        <v>34186</v>
      </c>
      <c r="N59" s="27">
        <v>56127</v>
      </c>
      <c r="O59" s="75">
        <v>45112</v>
      </c>
      <c r="P59" s="27">
        <v>46038</v>
      </c>
      <c r="Q59" s="65">
        <v>45860</v>
      </c>
      <c r="R59" s="21" t="s">
        <v>280</v>
      </c>
      <c r="S59" s="26"/>
      <c r="T59" s="26"/>
      <c r="U59" s="26"/>
      <c r="V59" s="23">
        <f>LEN(D59)</f>
        <v>11</v>
      </c>
      <c r="W59" s="23"/>
      <c r="X59" s="29">
        <f ca="1">INT((TODAY()-M59)/365)</f>
        <v>32</v>
      </c>
      <c r="Y59" s="8"/>
      <c r="Z59" s="8"/>
      <c r="AA59" s="8"/>
      <c r="AB59" s="9"/>
      <c r="AC59" s="8"/>
      <c r="AD59" s="8"/>
      <c r="AE59" s="8"/>
      <c r="AF59" s="9"/>
      <c r="AG59" s="9"/>
      <c r="AH59" s="9"/>
      <c r="AI59" s="9"/>
      <c r="AJ59" s="9"/>
      <c r="AK59" s="9"/>
      <c r="AL59" s="9"/>
      <c r="AM59" s="9"/>
    </row>
    <row r="60" spans="1:39">
      <c r="A60" s="81">
        <v>16</v>
      </c>
      <c r="B60" s="53" t="s">
        <v>281</v>
      </c>
      <c r="C60" s="13" t="s">
        <v>250</v>
      </c>
      <c r="D60" s="93">
        <v>50205690602</v>
      </c>
      <c r="E60" s="18" t="s">
        <v>282</v>
      </c>
      <c r="F60" s="37" t="s">
        <v>27</v>
      </c>
      <c r="G60" s="18" t="s">
        <v>28</v>
      </c>
      <c r="H60" s="18"/>
      <c r="I60" s="18">
        <v>891843232</v>
      </c>
      <c r="J60" s="30">
        <v>8918432329</v>
      </c>
      <c r="K60" s="18" t="s">
        <v>30</v>
      </c>
      <c r="L60" s="18" t="s">
        <v>270</v>
      </c>
      <c r="M60" s="94">
        <v>33957</v>
      </c>
      <c r="N60" s="27">
        <v>55884</v>
      </c>
      <c r="O60" s="95">
        <v>46524</v>
      </c>
      <c r="P60" s="27">
        <v>46074</v>
      </c>
      <c r="Q60" s="65">
        <v>45948</v>
      </c>
      <c r="R60" s="96" t="s">
        <v>283</v>
      </c>
      <c r="S60" s="26"/>
      <c r="T60" s="23"/>
      <c r="U60" s="23"/>
      <c r="V60" s="92"/>
      <c r="W60" s="92"/>
      <c r="X60" s="92"/>
      <c r="Y60" s="8"/>
      <c r="Z60" s="8"/>
      <c r="AA60" s="9"/>
      <c r="AB60" s="9"/>
    </row>
    <row r="61" spans="1:39" ht="15" customHeight="1">
      <c r="A61" s="81">
        <v>17</v>
      </c>
      <c r="B61" s="53" t="s">
        <v>284</v>
      </c>
      <c r="C61" s="13" t="s">
        <v>250</v>
      </c>
      <c r="D61" s="93">
        <v>50205690663</v>
      </c>
      <c r="E61" s="18" t="s">
        <v>285</v>
      </c>
      <c r="F61" s="26" t="s">
        <v>27</v>
      </c>
      <c r="G61" s="18" t="s">
        <v>28</v>
      </c>
      <c r="H61" s="18"/>
      <c r="I61" s="18">
        <v>8013040349</v>
      </c>
      <c r="J61" s="18">
        <v>8013040349</v>
      </c>
      <c r="K61" s="18" t="s">
        <v>30</v>
      </c>
      <c r="L61" s="18" t="s">
        <v>279</v>
      </c>
      <c r="M61" s="27">
        <v>34999</v>
      </c>
      <c r="N61" s="27">
        <v>56918</v>
      </c>
      <c r="O61" s="75">
        <v>45127</v>
      </c>
      <c r="P61" s="27">
        <v>46106</v>
      </c>
      <c r="Q61" s="65">
        <v>45977</v>
      </c>
      <c r="R61" s="21" t="s">
        <v>286</v>
      </c>
      <c r="S61" s="26"/>
      <c r="T61" s="26"/>
      <c r="U61" s="26"/>
      <c r="V61" s="23">
        <f t="shared" ref="V61:V62" si="15">LEN(D61)</f>
        <v>11</v>
      </c>
      <c r="W61" s="23"/>
      <c r="X61" s="29">
        <f t="shared" ref="X61:X62" ca="1" si="16">INT((TODAY()-M61)/365)</f>
        <v>30</v>
      </c>
      <c r="Y61" s="8"/>
      <c r="Z61" s="8"/>
      <c r="AA61" s="8"/>
      <c r="AB61" s="9"/>
    </row>
    <row r="62" spans="1:39" ht="15.75" customHeight="1">
      <c r="A62" s="97">
        <v>9</v>
      </c>
      <c r="B62" s="49" t="s">
        <v>287</v>
      </c>
      <c r="C62" s="18" t="s">
        <v>250</v>
      </c>
      <c r="D62" s="25">
        <v>50205564827</v>
      </c>
      <c r="E62" s="18" t="s">
        <v>288</v>
      </c>
      <c r="F62" s="26" t="s">
        <v>27</v>
      </c>
      <c r="G62" s="18" t="s">
        <v>36</v>
      </c>
      <c r="H62" s="18"/>
      <c r="I62" s="18">
        <v>9002071079</v>
      </c>
      <c r="J62" s="18"/>
      <c r="K62" s="18" t="s">
        <v>30</v>
      </c>
      <c r="L62" s="18" t="s">
        <v>279</v>
      </c>
      <c r="M62" s="27">
        <v>30603</v>
      </c>
      <c r="N62" s="27">
        <v>52535</v>
      </c>
      <c r="O62" s="27">
        <v>45174</v>
      </c>
      <c r="P62" s="27">
        <v>45697</v>
      </c>
      <c r="Q62" s="28">
        <v>45160</v>
      </c>
      <c r="R62" s="23"/>
      <c r="S62" s="69" t="s">
        <v>289</v>
      </c>
      <c r="T62" s="7"/>
      <c r="U62" s="7"/>
      <c r="V62" s="8">
        <f t="shared" si="15"/>
        <v>11</v>
      </c>
      <c r="W62" s="8"/>
      <c r="X62" s="29">
        <f t="shared" ca="1" si="16"/>
        <v>42</v>
      </c>
      <c r="Y62" s="8"/>
      <c r="Z62" s="8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 spans="1:39" ht="15.75" customHeight="1">
      <c r="A63" s="98">
        <v>5</v>
      </c>
      <c r="B63" s="53" t="s">
        <v>290</v>
      </c>
      <c r="C63" s="18" t="s">
        <v>250</v>
      </c>
      <c r="D63" s="93">
        <v>50205690675</v>
      </c>
      <c r="E63" s="18" t="s">
        <v>291</v>
      </c>
      <c r="F63" s="37" t="s">
        <v>27</v>
      </c>
      <c r="G63" s="18" t="s">
        <v>36</v>
      </c>
      <c r="H63" s="18"/>
      <c r="I63" s="18">
        <v>9832978546</v>
      </c>
      <c r="J63" s="18"/>
      <c r="K63" s="18" t="s">
        <v>30</v>
      </c>
      <c r="L63" s="18" t="s">
        <v>94</v>
      </c>
      <c r="M63" s="27">
        <v>34071</v>
      </c>
      <c r="N63" s="27">
        <v>56004</v>
      </c>
      <c r="O63" s="75">
        <v>46531</v>
      </c>
      <c r="P63" s="27">
        <v>46106</v>
      </c>
      <c r="Q63" s="65">
        <v>46004</v>
      </c>
      <c r="R63" s="21" t="s">
        <v>292</v>
      </c>
      <c r="S63" s="21" t="s">
        <v>293</v>
      </c>
      <c r="T63" s="23"/>
      <c r="U63" s="23"/>
      <c r="V63" s="92"/>
      <c r="W63" s="92"/>
      <c r="X63" s="92"/>
      <c r="Y63" s="8"/>
      <c r="Z63" s="8"/>
      <c r="AA63" s="9"/>
      <c r="AB63" s="9"/>
      <c r="AD63" s="88"/>
      <c r="AE63" s="88"/>
      <c r="AF63" s="88"/>
      <c r="AG63" s="88"/>
      <c r="AH63" s="88"/>
      <c r="AI63" s="88"/>
      <c r="AJ63" s="88"/>
      <c r="AK63" s="88"/>
      <c r="AL63" s="88"/>
      <c r="AM63" s="88"/>
    </row>
    <row r="64" spans="1:39" ht="15.75" customHeight="1">
      <c r="A64" s="98">
        <v>29</v>
      </c>
      <c r="B64" s="53" t="s">
        <v>294</v>
      </c>
      <c r="C64" s="13" t="s">
        <v>229</v>
      </c>
      <c r="D64" s="74">
        <v>50205690596</v>
      </c>
      <c r="E64" s="18" t="s">
        <v>295</v>
      </c>
      <c r="F64" s="37" t="s">
        <v>27</v>
      </c>
      <c r="G64" s="18" t="s">
        <v>36</v>
      </c>
      <c r="H64" s="18"/>
      <c r="I64" s="18">
        <v>8436494945</v>
      </c>
      <c r="J64" s="30">
        <v>8436494945</v>
      </c>
      <c r="K64" s="18" t="s">
        <v>30</v>
      </c>
      <c r="L64" s="18" t="s">
        <v>94</v>
      </c>
      <c r="M64" s="27">
        <v>33300</v>
      </c>
      <c r="N64" s="27">
        <v>55243</v>
      </c>
      <c r="O64" s="75">
        <v>46566</v>
      </c>
      <c r="P64" s="27">
        <v>46074</v>
      </c>
      <c r="Q64" s="65">
        <v>45948</v>
      </c>
      <c r="R64" s="21" t="s">
        <v>296</v>
      </c>
      <c r="S64" s="21" t="s">
        <v>297</v>
      </c>
      <c r="T64" s="23"/>
      <c r="U64" s="26"/>
      <c r="V64" s="23">
        <f t="shared" ref="V64:V67" si="17">LEN(D64)</f>
        <v>11</v>
      </c>
      <c r="W64" s="23"/>
      <c r="X64" s="29">
        <f t="shared" ref="X64:X66" ca="1" si="18">INT((TODAY()-M64)/365)</f>
        <v>35</v>
      </c>
      <c r="Y64" s="8"/>
      <c r="Z64" s="8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</row>
    <row r="65" spans="1:39" ht="15.75" customHeight="1">
      <c r="A65" s="81">
        <v>18</v>
      </c>
      <c r="B65" s="24" t="s">
        <v>298</v>
      </c>
      <c r="C65" s="18" t="s">
        <v>250</v>
      </c>
      <c r="D65" s="99">
        <v>50205678195</v>
      </c>
      <c r="E65" s="13" t="s">
        <v>299</v>
      </c>
      <c r="F65" s="37" t="s">
        <v>27</v>
      </c>
      <c r="G65" s="18" t="s">
        <v>28</v>
      </c>
      <c r="H65" s="18"/>
      <c r="I65" s="18">
        <v>8515981464</v>
      </c>
      <c r="J65" s="40">
        <v>8515981464</v>
      </c>
      <c r="K65" s="18" t="s">
        <v>30</v>
      </c>
      <c r="L65" s="18" t="s">
        <v>279</v>
      </c>
      <c r="M65" s="27">
        <v>34195</v>
      </c>
      <c r="N65" s="27">
        <v>56127</v>
      </c>
      <c r="O65" s="75">
        <v>46538</v>
      </c>
      <c r="P65" s="27">
        <v>46020</v>
      </c>
      <c r="Q65" s="65">
        <v>45913</v>
      </c>
      <c r="R65" s="21" t="s">
        <v>300</v>
      </c>
      <c r="S65" s="26"/>
      <c r="T65" s="23"/>
      <c r="U65" s="26"/>
      <c r="V65" s="23">
        <f t="shared" si="17"/>
        <v>11</v>
      </c>
      <c r="W65" s="23"/>
      <c r="X65" s="29">
        <f t="shared" ca="1" si="18"/>
        <v>32</v>
      </c>
      <c r="Y65" s="8"/>
      <c r="Z65" s="8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</row>
    <row r="66" spans="1:39" ht="15.75" customHeight="1">
      <c r="A66" s="81">
        <v>19</v>
      </c>
      <c r="B66" s="24" t="s">
        <v>301</v>
      </c>
      <c r="C66" s="18" t="s">
        <v>250</v>
      </c>
      <c r="D66" s="93">
        <v>50205678172</v>
      </c>
      <c r="E66" s="17" t="s">
        <v>302</v>
      </c>
      <c r="F66" s="37" t="s">
        <v>27</v>
      </c>
      <c r="G66" s="30" t="s">
        <v>28</v>
      </c>
      <c r="H66" s="18"/>
      <c r="I66" s="30">
        <v>8436887881</v>
      </c>
      <c r="J66" s="30">
        <v>8436887881</v>
      </c>
      <c r="K66" s="18" t="s">
        <v>30</v>
      </c>
      <c r="L66" s="22" t="s">
        <v>63</v>
      </c>
      <c r="M66" s="27">
        <v>34366</v>
      </c>
      <c r="N66" s="27">
        <v>56280</v>
      </c>
      <c r="O66" s="75">
        <v>46524</v>
      </c>
      <c r="P66" s="27">
        <v>46020</v>
      </c>
      <c r="Q66" s="65">
        <v>45913</v>
      </c>
      <c r="R66" s="21" t="s">
        <v>303</v>
      </c>
      <c r="S66" s="26"/>
      <c r="T66" s="23"/>
      <c r="U66" s="23"/>
      <c r="V66" s="23">
        <f t="shared" si="17"/>
        <v>11</v>
      </c>
      <c r="W66" s="23"/>
      <c r="X66" s="29">
        <f t="shared" ca="1" si="18"/>
        <v>32</v>
      </c>
      <c r="Y66" s="8"/>
      <c r="Z66" s="8"/>
      <c r="AA66" s="9"/>
      <c r="AB66" s="9"/>
    </row>
    <row r="67" spans="1:39" ht="15.75" customHeight="1">
      <c r="A67" s="81">
        <v>20</v>
      </c>
      <c r="B67" s="39" t="s">
        <v>304</v>
      </c>
      <c r="C67" s="18" t="s">
        <v>229</v>
      </c>
      <c r="D67" s="85" t="s">
        <v>305</v>
      </c>
      <c r="E67" s="22" t="s">
        <v>306</v>
      </c>
      <c r="F67" s="37" t="s">
        <v>27</v>
      </c>
      <c r="G67" s="18" t="s">
        <v>28</v>
      </c>
      <c r="H67" s="30"/>
      <c r="I67" s="18">
        <v>9933686542</v>
      </c>
      <c r="J67" s="51">
        <v>9933686542</v>
      </c>
      <c r="K67" s="18" t="s">
        <v>30</v>
      </c>
      <c r="L67" s="13" t="s">
        <v>31</v>
      </c>
      <c r="M67" s="27">
        <v>32632</v>
      </c>
      <c r="N67" s="27">
        <v>54574</v>
      </c>
      <c r="O67" s="27">
        <v>45461</v>
      </c>
      <c r="P67" s="19">
        <v>45774</v>
      </c>
      <c r="Q67" s="28">
        <v>45746</v>
      </c>
      <c r="R67" s="21" t="s">
        <v>307</v>
      </c>
      <c r="S67" s="21" t="s">
        <v>308</v>
      </c>
      <c r="T67" s="21" t="s">
        <v>309</v>
      </c>
      <c r="U67" s="66"/>
      <c r="V67" s="8">
        <f t="shared" si="17"/>
        <v>11</v>
      </c>
      <c r="W67" s="8"/>
      <c r="X67" s="8"/>
      <c r="Y67" s="8"/>
      <c r="Z67" s="8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 spans="1:39" ht="15.75" customHeight="1">
      <c r="A68" s="81">
        <v>21</v>
      </c>
      <c r="B68" s="24" t="s">
        <v>310</v>
      </c>
      <c r="C68" s="18" t="s">
        <v>229</v>
      </c>
      <c r="D68" s="93">
        <v>50200178871</v>
      </c>
      <c r="E68" s="13" t="s">
        <v>311</v>
      </c>
      <c r="F68" s="82" t="s">
        <v>27</v>
      </c>
      <c r="G68" s="18" t="s">
        <v>36</v>
      </c>
      <c r="H68" s="18"/>
      <c r="I68" s="18">
        <v>9800011688</v>
      </c>
      <c r="J68" s="30">
        <v>9830616923</v>
      </c>
      <c r="K68" s="18" t="s">
        <v>30</v>
      </c>
      <c r="L68" s="18" t="s">
        <v>312</v>
      </c>
      <c r="M68" s="27">
        <v>32819</v>
      </c>
      <c r="N68" s="27">
        <v>54757</v>
      </c>
      <c r="O68" s="75">
        <v>46259</v>
      </c>
      <c r="P68" s="19">
        <v>45222</v>
      </c>
      <c r="Q68" s="28">
        <v>45248</v>
      </c>
      <c r="R68" s="21" t="s">
        <v>313</v>
      </c>
      <c r="S68" s="21" t="s">
        <v>314</v>
      </c>
      <c r="T68" s="21" t="s">
        <v>315</v>
      </c>
      <c r="U68" s="26"/>
      <c r="V68" s="20"/>
      <c r="W68" s="23"/>
      <c r="X68" s="23"/>
      <c r="Y68" s="23"/>
      <c r="Z68" s="23"/>
      <c r="AA68" s="23"/>
      <c r="AB68" s="9">
        <f ca="1">INT((TODAY()-M68)/365)</f>
        <v>36</v>
      </c>
    </row>
    <row r="69" spans="1:39">
      <c r="A69" s="81">
        <v>22</v>
      </c>
      <c r="B69" s="24" t="s">
        <v>316</v>
      </c>
      <c r="C69" s="13" t="s">
        <v>250</v>
      </c>
      <c r="D69" s="99">
        <v>50205678110</v>
      </c>
      <c r="E69" s="18" t="s">
        <v>317</v>
      </c>
      <c r="F69" s="37" t="s">
        <v>27</v>
      </c>
      <c r="G69" s="18" t="s">
        <v>28</v>
      </c>
      <c r="H69" s="18"/>
      <c r="I69" s="18">
        <v>7797400518</v>
      </c>
      <c r="J69" s="40">
        <v>7797400518</v>
      </c>
      <c r="K69" s="18" t="s">
        <v>30</v>
      </c>
      <c r="L69" s="18" t="s">
        <v>270</v>
      </c>
      <c r="M69" s="27">
        <v>34627</v>
      </c>
      <c r="N69" s="27">
        <v>56553</v>
      </c>
      <c r="O69" s="75">
        <v>45110</v>
      </c>
      <c r="P69" s="27">
        <v>46019</v>
      </c>
      <c r="Q69" s="65">
        <v>45913</v>
      </c>
      <c r="R69" s="21" t="s">
        <v>318</v>
      </c>
      <c r="S69" s="26"/>
      <c r="T69" s="23"/>
      <c r="U69" s="26"/>
      <c r="V69" s="23">
        <f t="shared" ref="V69:V70" si="19">LEN(D69)</f>
        <v>11</v>
      </c>
      <c r="W69" s="23"/>
      <c r="X69" s="29">
        <f t="shared" ref="X69:X70" ca="1" si="20">INT((TODAY()-M69)/365)</f>
        <v>31</v>
      </c>
      <c r="Y69" s="8"/>
      <c r="Z69" s="8"/>
      <c r="AA69" s="8"/>
      <c r="AB69" s="9"/>
      <c r="AC69" s="8"/>
      <c r="AD69" s="8"/>
      <c r="AE69" s="8"/>
      <c r="AF69" s="8"/>
      <c r="AG69" s="8"/>
      <c r="AH69" s="8"/>
      <c r="AI69" s="9"/>
      <c r="AJ69" s="9"/>
      <c r="AK69" s="9"/>
      <c r="AL69" s="9"/>
      <c r="AM69" s="9"/>
    </row>
    <row r="70" spans="1:39" ht="15.75" customHeight="1">
      <c r="A70" s="81">
        <v>23</v>
      </c>
      <c r="B70" s="39" t="s">
        <v>319</v>
      </c>
      <c r="C70" s="13" t="s">
        <v>250</v>
      </c>
      <c r="D70" s="52">
        <v>50205677695</v>
      </c>
      <c r="E70" s="18" t="s">
        <v>320</v>
      </c>
      <c r="F70" s="26" t="s">
        <v>27</v>
      </c>
      <c r="G70" s="18" t="s">
        <v>28</v>
      </c>
      <c r="H70" s="18"/>
      <c r="I70" s="18">
        <v>8617354372</v>
      </c>
      <c r="J70" s="36">
        <v>9547643868</v>
      </c>
      <c r="K70" s="18" t="s">
        <v>30</v>
      </c>
      <c r="L70" s="22" t="s">
        <v>63</v>
      </c>
      <c r="M70" s="27">
        <v>34933</v>
      </c>
      <c r="N70" s="27">
        <v>56857</v>
      </c>
      <c r="O70" s="27">
        <v>45112</v>
      </c>
      <c r="P70" s="27">
        <v>45905</v>
      </c>
      <c r="Q70" s="27">
        <v>45951</v>
      </c>
      <c r="R70" s="69" t="s">
        <v>321</v>
      </c>
      <c r="S70" s="7"/>
      <c r="T70" s="26"/>
      <c r="U70" s="26"/>
      <c r="V70" s="8">
        <f t="shared" si="19"/>
        <v>11</v>
      </c>
      <c r="W70" s="8"/>
      <c r="X70" s="29">
        <f t="shared" ca="1" si="20"/>
        <v>30</v>
      </c>
      <c r="Y70" s="8"/>
      <c r="Z70" s="8"/>
      <c r="AA70" s="9"/>
      <c r="AB70" s="9"/>
      <c r="AF70" s="45"/>
      <c r="AG70" s="45"/>
      <c r="AH70" s="45"/>
      <c r="AI70" s="45"/>
      <c r="AJ70" s="45"/>
      <c r="AK70" s="45"/>
      <c r="AL70" s="45"/>
      <c r="AM70" s="45"/>
    </row>
    <row r="71" spans="1:39" ht="15.75" customHeight="1">
      <c r="A71" s="98">
        <v>77</v>
      </c>
      <c r="B71" s="91" t="s">
        <v>322</v>
      </c>
      <c r="C71" s="18" t="s">
        <v>229</v>
      </c>
      <c r="D71" s="99">
        <v>50205680888</v>
      </c>
      <c r="E71" s="22" t="s">
        <v>323</v>
      </c>
      <c r="F71" s="37" t="s">
        <v>27</v>
      </c>
      <c r="G71" s="22" t="s">
        <v>36</v>
      </c>
      <c r="H71" s="18"/>
      <c r="I71" s="90">
        <v>9647717009</v>
      </c>
      <c r="J71" s="48"/>
      <c r="K71" s="18" t="s">
        <v>30</v>
      </c>
      <c r="L71" s="22" t="s">
        <v>76</v>
      </c>
      <c r="M71" s="27">
        <v>33728</v>
      </c>
      <c r="N71" s="27">
        <v>55670</v>
      </c>
      <c r="O71" s="100">
        <v>45519</v>
      </c>
      <c r="P71" s="6">
        <v>45145</v>
      </c>
      <c r="Q71" s="6">
        <v>46032</v>
      </c>
      <c r="R71" s="21" t="s">
        <v>324</v>
      </c>
      <c r="S71" s="21" t="s">
        <v>325</v>
      </c>
      <c r="T71" s="21" t="s">
        <v>326</v>
      </c>
      <c r="U71" s="23"/>
      <c r="V71" s="92"/>
      <c r="W71" s="92"/>
      <c r="X71" s="92"/>
      <c r="Y71" s="8"/>
      <c r="Z71" s="8"/>
      <c r="AA71" s="9"/>
      <c r="AB71" s="9"/>
    </row>
    <row r="72" spans="1:39" ht="15.75" customHeight="1">
      <c r="A72" s="98">
        <v>29</v>
      </c>
      <c r="B72" s="101" t="s">
        <v>327</v>
      </c>
      <c r="C72" s="18" t="s">
        <v>229</v>
      </c>
      <c r="D72" s="99">
        <v>3329804070</v>
      </c>
      <c r="E72" s="102" t="s">
        <v>328</v>
      </c>
      <c r="F72" s="103" t="s">
        <v>27</v>
      </c>
      <c r="G72" s="22" t="s">
        <v>216</v>
      </c>
      <c r="H72" s="18"/>
      <c r="I72" s="22">
        <v>9748283769</v>
      </c>
      <c r="J72" s="22">
        <v>9748283769</v>
      </c>
      <c r="K72" s="18" t="s">
        <v>30</v>
      </c>
      <c r="L72" s="18" t="s">
        <v>31</v>
      </c>
      <c r="M72" s="6" t="s">
        <v>329</v>
      </c>
      <c r="N72" s="6">
        <v>54696</v>
      </c>
      <c r="O72" s="95">
        <v>45177</v>
      </c>
      <c r="P72" s="6">
        <v>45459</v>
      </c>
      <c r="Q72" s="6">
        <v>45382</v>
      </c>
      <c r="R72" s="21" t="s">
        <v>330</v>
      </c>
      <c r="S72" s="21" t="s">
        <v>331</v>
      </c>
      <c r="T72" s="26"/>
      <c r="U72" s="26"/>
      <c r="V72" s="26"/>
      <c r="W72" s="29" t="e">
        <f t="shared" ref="W72:W73" ca="1" si="21">INT((TODAY()-M72)/365)</f>
        <v>#VALUE!</v>
      </c>
      <c r="X72" s="23"/>
      <c r="Y72" s="23"/>
      <c r="Z72" s="23"/>
    </row>
    <row r="73" spans="1:39" ht="30">
      <c r="A73" s="81">
        <v>58</v>
      </c>
      <c r="B73" s="53" t="s">
        <v>332</v>
      </c>
      <c r="C73" s="13" t="s">
        <v>250</v>
      </c>
      <c r="D73" s="104" t="s">
        <v>333</v>
      </c>
      <c r="E73" s="68" t="s">
        <v>334</v>
      </c>
      <c r="F73" s="103" t="s">
        <v>27</v>
      </c>
      <c r="G73" s="18" t="s">
        <v>28</v>
      </c>
      <c r="H73" s="18"/>
      <c r="I73" s="18">
        <v>9804635887</v>
      </c>
      <c r="J73" s="30">
        <v>9330594881</v>
      </c>
      <c r="K73" s="18" t="s">
        <v>30</v>
      </c>
      <c r="L73" s="18" t="s">
        <v>104</v>
      </c>
      <c r="M73" s="27">
        <v>34192</v>
      </c>
      <c r="N73" s="27">
        <v>56127</v>
      </c>
      <c r="O73" s="75">
        <v>45120</v>
      </c>
      <c r="P73" s="27">
        <v>45916</v>
      </c>
      <c r="Q73" s="65">
        <v>45916</v>
      </c>
      <c r="R73" s="21" t="s">
        <v>335</v>
      </c>
      <c r="S73" s="26"/>
      <c r="T73" s="26"/>
      <c r="U73" s="26"/>
      <c r="V73" s="26">
        <f t="shared" ref="V73:V77" si="22">LEN(D73)</f>
        <v>11</v>
      </c>
      <c r="W73" s="29">
        <f t="shared" ca="1" si="21"/>
        <v>32</v>
      </c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9" ht="15.75" customHeight="1">
      <c r="A74" s="105">
        <v>1</v>
      </c>
      <c r="B74" s="39" t="s">
        <v>336</v>
      </c>
      <c r="C74" s="18" t="s">
        <v>229</v>
      </c>
      <c r="D74" s="47">
        <v>50205618400</v>
      </c>
      <c r="E74" s="30" t="s">
        <v>337</v>
      </c>
      <c r="F74" s="106" t="s">
        <v>338</v>
      </c>
      <c r="G74" s="30" t="s">
        <v>36</v>
      </c>
      <c r="H74" s="18" t="s">
        <v>339</v>
      </c>
      <c r="I74" s="18">
        <v>8240068511</v>
      </c>
      <c r="J74" s="18"/>
      <c r="K74" s="18" t="s">
        <v>30</v>
      </c>
      <c r="L74" s="18" t="s">
        <v>58</v>
      </c>
      <c r="M74" s="27">
        <v>31628</v>
      </c>
      <c r="N74" s="27">
        <v>53570</v>
      </c>
      <c r="O74" s="27">
        <v>46243</v>
      </c>
      <c r="P74" s="27">
        <v>45396</v>
      </c>
      <c r="Q74" s="27">
        <v>45369</v>
      </c>
      <c r="R74" s="69" t="s">
        <v>340</v>
      </c>
      <c r="S74" s="21" t="s">
        <v>341</v>
      </c>
      <c r="T74" s="21" t="s">
        <v>342</v>
      </c>
      <c r="U74" s="7"/>
      <c r="V74" s="8">
        <f t="shared" si="22"/>
        <v>11</v>
      </c>
      <c r="W74" s="8"/>
      <c r="X74" s="29">
        <f t="shared" ref="X74:X75" ca="1" si="23">INT((TODAY()-M74)/365)</f>
        <v>39</v>
      </c>
      <c r="Y74" s="40"/>
      <c r="Z74" s="23"/>
      <c r="AA74" s="45"/>
      <c r="AB74" s="44">
        <f ca="1">INT((TODAY()-M74)/365)</f>
        <v>39</v>
      </c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</row>
    <row r="75" spans="1:39" ht="18.75">
      <c r="A75" s="105">
        <v>2</v>
      </c>
      <c r="B75" s="43" t="s">
        <v>343</v>
      </c>
      <c r="C75" s="18" t="s">
        <v>229</v>
      </c>
      <c r="D75" s="35">
        <v>50205618459</v>
      </c>
      <c r="E75" s="22" t="s">
        <v>344</v>
      </c>
      <c r="F75" s="15" t="s">
        <v>27</v>
      </c>
      <c r="G75" s="16" t="s">
        <v>36</v>
      </c>
      <c r="H75" s="18" t="s">
        <v>37</v>
      </c>
      <c r="I75" s="13">
        <v>7797309134</v>
      </c>
      <c r="J75" s="13"/>
      <c r="K75" s="18" t="s">
        <v>30</v>
      </c>
      <c r="L75" s="13" t="s">
        <v>63</v>
      </c>
      <c r="M75" s="19">
        <v>32003</v>
      </c>
      <c r="N75" s="19">
        <v>53935</v>
      </c>
      <c r="O75" s="19">
        <v>46231</v>
      </c>
      <c r="P75" s="27">
        <v>45363</v>
      </c>
      <c r="Q75" s="27">
        <v>45307</v>
      </c>
      <c r="R75" s="21" t="s">
        <v>345</v>
      </c>
      <c r="S75" s="21" t="s">
        <v>346</v>
      </c>
      <c r="T75" s="21" t="s">
        <v>347</v>
      </c>
      <c r="U75" s="20"/>
      <c r="V75" s="20">
        <f t="shared" si="22"/>
        <v>11</v>
      </c>
      <c r="W75" s="22"/>
      <c r="X75" s="29">
        <f t="shared" ca="1" si="23"/>
        <v>38</v>
      </c>
      <c r="Y75" s="40"/>
      <c r="Z75" s="23"/>
      <c r="AA75" s="67"/>
      <c r="AB75" s="29"/>
      <c r="AC75" s="67"/>
      <c r="AD75" s="67"/>
      <c r="AE75" s="67"/>
      <c r="AF75" s="67"/>
      <c r="AG75" s="67"/>
      <c r="AH75" s="67"/>
      <c r="AI75" s="45"/>
      <c r="AJ75" s="45"/>
      <c r="AK75" s="45"/>
      <c r="AL75" s="45"/>
      <c r="AM75" s="45"/>
    </row>
    <row r="76" spans="1:39">
      <c r="A76" s="105">
        <v>3</v>
      </c>
      <c r="B76" s="39" t="s">
        <v>348</v>
      </c>
      <c r="C76" s="18" t="s">
        <v>229</v>
      </c>
      <c r="D76" s="52">
        <v>50205618496</v>
      </c>
      <c r="E76" s="30" t="s">
        <v>349</v>
      </c>
      <c r="F76" s="37" t="s">
        <v>27</v>
      </c>
      <c r="G76" s="30" t="s">
        <v>36</v>
      </c>
      <c r="H76" s="18" t="s">
        <v>339</v>
      </c>
      <c r="I76" s="18">
        <v>9749136385</v>
      </c>
      <c r="J76" s="40">
        <v>9153622661</v>
      </c>
      <c r="K76" s="18" t="s">
        <v>30</v>
      </c>
      <c r="L76" s="13" t="s">
        <v>31</v>
      </c>
      <c r="M76" s="27">
        <v>32597</v>
      </c>
      <c r="N76" s="27">
        <v>54513</v>
      </c>
      <c r="O76" s="27">
        <v>46218</v>
      </c>
      <c r="P76" s="27">
        <v>45363</v>
      </c>
      <c r="Q76" s="27">
        <v>45307</v>
      </c>
      <c r="R76" s="69" t="s">
        <v>241</v>
      </c>
      <c r="S76" s="21" t="s">
        <v>350</v>
      </c>
      <c r="T76" s="21" t="s">
        <v>351</v>
      </c>
      <c r="U76" s="7"/>
      <c r="V76" s="8">
        <f t="shared" si="22"/>
        <v>11</v>
      </c>
      <c r="W76" s="8"/>
      <c r="X76" s="8"/>
      <c r="Y76" s="40"/>
      <c r="Z76" s="23"/>
      <c r="AA76" s="67"/>
      <c r="AB76" s="29"/>
      <c r="AC76" s="67"/>
      <c r="AD76" s="67"/>
      <c r="AE76" s="67"/>
      <c r="AF76" s="67"/>
      <c r="AG76" s="67"/>
      <c r="AH76" s="67"/>
      <c r="AI76" s="45"/>
      <c r="AJ76" s="45"/>
      <c r="AK76" s="45"/>
      <c r="AL76" s="45"/>
      <c r="AM76" s="45"/>
    </row>
    <row r="77" spans="1:39" ht="18.75">
      <c r="A77" s="105">
        <v>4</v>
      </c>
      <c r="B77" s="43" t="s">
        <v>352</v>
      </c>
      <c r="C77" s="18" t="s">
        <v>229</v>
      </c>
      <c r="D77" s="35">
        <v>50205618514</v>
      </c>
      <c r="E77" s="22" t="s">
        <v>353</v>
      </c>
      <c r="F77" s="26" t="s">
        <v>27</v>
      </c>
      <c r="G77" s="16" t="s">
        <v>36</v>
      </c>
      <c r="H77" s="18" t="s">
        <v>339</v>
      </c>
      <c r="I77" s="13">
        <v>9883291704</v>
      </c>
      <c r="J77" s="13">
        <v>9883291704</v>
      </c>
      <c r="K77" s="18" t="s">
        <v>30</v>
      </c>
      <c r="L77" s="13" t="s">
        <v>31</v>
      </c>
      <c r="M77" s="19">
        <v>30133</v>
      </c>
      <c r="N77" s="19">
        <v>52078</v>
      </c>
      <c r="O77" s="19">
        <v>46239</v>
      </c>
      <c r="P77" s="27">
        <v>45363</v>
      </c>
      <c r="Q77" s="27">
        <v>45307</v>
      </c>
      <c r="R77" s="21" t="s">
        <v>354</v>
      </c>
      <c r="S77" s="21" t="s">
        <v>355</v>
      </c>
      <c r="T77" s="21" t="s">
        <v>356</v>
      </c>
      <c r="U77" s="20"/>
      <c r="V77" s="20">
        <f t="shared" si="22"/>
        <v>11</v>
      </c>
      <c r="W77" s="22"/>
      <c r="X77" s="29">
        <f t="shared" ref="X77:X81" ca="1" si="24">INT((TODAY()-M77)/365)</f>
        <v>43</v>
      </c>
      <c r="Y77" s="40"/>
      <c r="Z77" s="23"/>
      <c r="AA77" s="67"/>
      <c r="AB77" s="29"/>
      <c r="AC77" s="67"/>
      <c r="AD77" s="67"/>
      <c r="AE77" s="67"/>
      <c r="AF77" s="67"/>
      <c r="AG77" s="67"/>
      <c r="AH77" s="67"/>
      <c r="AI77" s="45"/>
      <c r="AJ77" s="45"/>
      <c r="AK77" s="45"/>
      <c r="AL77" s="45"/>
      <c r="AM77" s="45"/>
    </row>
    <row r="78" spans="1:39">
      <c r="A78" s="105">
        <v>5</v>
      </c>
      <c r="B78" s="24" t="s">
        <v>357</v>
      </c>
      <c r="C78" s="18" t="s">
        <v>229</v>
      </c>
      <c r="D78" s="36">
        <v>50205618629</v>
      </c>
      <c r="E78" s="22" t="s">
        <v>358</v>
      </c>
      <c r="F78" s="26" t="s">
        <v>27</v>
      </c>
      <c r="G78" s="30" t="s">
        <v>28</v>
      </c>
      <c r="H78" s="18" t="s">
        <v>339</v>
      </c>
      <c r="I78" s="30">
        <v>7063359358</v>
      </c>
      <c r="J78" s="30"/>
      <c r="K78" s="18" t="s">
        <v>30</v>
      </c>
      <c r="L78" s="18" t="s">
        <v>46</v>
      </c>
      <c r="M78" s="27">
        <v>30806</v>
      </c>
      <c r="N78" s="27">
        <v>52748</v>
      </c>
      <c r="O78" s="107">
        <v>46041</v>
      </c>
      <c r="P78" s="27">
        <v>45363</v>
      </c>
      <c r="Q78" s="27">
        <v>45307</v>
      </c>
      <c r="R78" s="66" t="s">
        <v>359</v>
      </c>
      <c r="S78" s="66" t="s">
        <v>360</v>
      </c>
      <c r="T78" s="66" t="s">
        <v>361</v>
      </c>
      <c r="U78" s="33"/>
      <c r="V78" s="67">
        <f t="shared" ref="V78:V79" si="25">LEN(TEXT(D78,0))</f>
        <v>11</v>
      </c>
      <c r="W78" s="40"/>
      <c r="X78" s="29">
        <f t="shared" ca="1" si="24"/>
        <v>41</v>
      </c>
      <c r="Y78" s="40"/>
      <c r="Z78" s="23"/>
      <c r="AA78" s="67"/>
      <c r="AB78" s="29"/>
      <c r="AC78" s="67"/>
      <c r="AD78" s="67"/>
      <c r="AE78" s="67"/>
      <c r="AF78" s="67"/>
      <c r="AG78" s="67"/>
      <c r="AH78" s="67"/>
      <c r="AI78" s="45"/>
      <c r="AJ78" s="45"/>
      <c r="AK78" s="45"/>
      <c r="AL78" s="45"/>
      <c r="AM78" s="45"/>
    </row>
    <row r="79" spans="1:39" ht="15.75" customHeight="1">
      <c r="A79" s="105">
        <v>7</v>
      </c>
      <c r="B79" s="24" t="s">
        <v>362</v>
      </c>
      <c r="C79" s="18" t="s">
        <v>229</v>
      </c>
      <c r="D79" s="36">
        <v>50205618370</v>
      </c>
      <c r="E79" s="22" t="s">
        <v>363</v>
      </c>
      <c r="F79" s="82" t="s">
        <v>27</v>
      </c>
      <c r="G79" s="30" t="s">
        <v>36</v>
      </c>
      <c r="H79" s="13" t="s">
        <v>339</v>
      </c>
      <c r="I79" s="30">
        <v>9382225744</v>
      </c>
      <c r="J79" s="30"/>
      <c r="K79" s="18" t="s">
        <v>30</v>
      </c>
      <c r="L79" s="18" t="s">
        <v>31</v>
      </c>
      <c r="M79" s="27">
        <v>30136</v>
      </c>
      <c r="N79" s="27">
        <v>52078</v>
      </c>
      <c r="O79" s="107">
        <v>46231</v>
      </c>
      <c r="P79" s="27">
        <v>45363</v>
      </c>
      <c r="Q79" s="27">
        <v>45307</v>
      </c>
      <c r="R79" s="66" t="s">
        <v>364</v>
      </c>
      <c r="S79" s="66" t="s">
        <v>365</v>
      </c>
      <c r="T79" s="66" t="s">
        <v>366</v>
      </c>
      <c r="U79" s="33"/>
      <c r="V79" s="67">
        <f t="shared" si="25"/>
        <v>11</v>
      </c>
      <c r="W79" s="40"/>
      <c r="X79" s="29">
        <f t="shared" ca="1" si="24"/>
        <v>43</v>
      </c>
      <c r="Y79" s="22"/>
      <c r="Z79" s="23"/>
      <c r="AB79" s="9"/>
    </row>
    <row r="80" spans="1:39" ht="18.75">
      <c r="A80" s="105">
        <v>8</v>
      </c>
      <c r="B80" s="43" t="s">
        <v>367</v>
      </c>
      <c r="C80" s="18" t="s">
        <v>229</v>
      </c>
      <c r="D80" s="35">
        <v>50205618654</v>
      </c>
      <c r="E80" s="22" t="s">
        <v>368</v>
      </c>
      <c r="F80" s="82" t="s">
        <v>27</v>
      </c>
      <c r="G80" s="16" t="s">
        <v>36</v>
      </c>
      <c r="H80" s="13" t="s">
        <v>339</v>
      </c>
      <c r="I80" s="13">
        <v>9547946561</v>
      </c>
      <c r="J80" s="18"/>
      <c r="K80" s="18" t="s">
        <v>30</v>
      </c>
      <c r="L80" s="18" t="s">
        <v>76</v>
      </c>
      <c r="M80" s="19">
        <v>32536</v>
      </c>
      <c r="N80" s="19">
        <v>54454</v>
      </c>
      <c r="O80" s="19">
        <v>46253</v>
      </c>
      <c r="P80" s="27">
        <v>45363</v>
      </c>
      <c r="Q80" s="27">
        <v>45307</v>
      </c>
      <c r="R80" s="21" t="s">
        <v>369</v>
      </c>
      <c r="S80" s="21" t="s">
        <v>370</v>
      </c>
      <c r="T80" s="21" t="s">
        <v>371</v>
      </c>
      <c r="U80" s="20"/>
      <c r="V80" s="20">
        <f>LEN(D80)</f>
        <v>11</v>
      </c>
      <c r="W80" s="22"/>
      <c r="X80" s="29">
        <f t="shared" ca="1" si="24"/>
        <v>37</v>
      </c>
      <c r="Y80" s="40"/>
      <c r="Z80" s="23"/>
      <c r="AA80" s="67"/>
      <c r="AB80" s="29"/>
      <c r="AC80" s="67"/>
      <c r="AD80" s="67"/>
      <c r="AE80" s="67"/>
      <c r="AF80" s="67"/>
      <c r="AG80" s="67"/>
      <c r="AH80" s="67"/>
      <c r="AI80" s="45"/>
      <c r="AJ80" s="45"/>
      <c r="AK80" s="45"/>
      <c r="AL80" s="45"/>
      <c r="AM80" s="45"/>
    </row>
    <row r="81" spans="1:39" ht="15.75" customHeight="1">
      <c r="A81" s="105">
        <v>9</v>
      </c>
      <c r="B81" s="24" t="s">
        <v>372</v>
      </c>
      <c r="C81" s="18" t="s">
        <v>229</v>
      </c>
      <c r="D81" s="108">
        <v>50714507136</v>
      </c>
      <c r="E81" s="22" t="s">
        <v>373</v>
      </c>
      <c r="F81" s="37" t="s">
        <v>27</v>
      </c>
      <c r="G81" s="30" t="s">
        <v>28</v>
      </c>
      <c r="H81" s="13" t="s">
        <v>339</v>
      </c>
      <c r="I81" s="30">
        <v>8647860245</v>
      </c>
      <c r="J81" s="18"/>
      <c r="K81" s="18" t="s">
        <v>30</v>
      </c>
      <c r="L81" s="18" t="s">
        <v>46</v>
      </c>
      <c r="M81" s="27">
        <v>31491</v>
      </c>
      <c r="N81" s="27">
        <v>53417</v>
      </c>
      <c r="O81" s="107">
        <v>45874</v>
      </c>
      <c r="P81" s="27">
        <v>45363</v>
      </c>
      <c r="Q81" s="27">
        <v>45337</v>
      </c>
      <c r="R81" s="66" t="s">
        <v>374</v>
      </c>
      <c r="S81" s="66" t="s">
        <v>375</v>
      </c>
      <c r="T81" s="33"/>
      <c r="U81" s="33"/>
      <c r="V81" s="67">
        <f>LEN(TEXT(D81,0))</f>
        <v>11</v>
      </c>
      <c r="W81" s="40"/>
      <c r="X81" s="29">
        <f t="shared" ca="1" si="24"/>
        <v>40</v>
      </c>
      <c r="Y81" s="22"/>
      <c r="Z81" s="23"/>
      <c r="AB81" s="9"/>
    </row>
    <row r="82" spans="1:39" ht="15.75" customHeight="1">
      <c r="A82" s="105">
        <v>79</v>
      </c>
      <c r="B82" s="57" t="s">
        <v>376</v>
      </c>
      <c r="C82" s="18" t="s">
        <v>229</v>
      </c>
      <c r="D82" s="35">
        <v>50205618873</v>
      </c>
      <c r="E82" s="48" t="s">
        <v>377</v>
      </c>
      <c r="F82" s="82" t="s">
        <v>27</v>
      </c>
      <c r="G82" s="16" t="s">
        <v>36</v>
      </c>
      <c r="H82" s="18" t="s">
        <v>339</v>
      </c>
      <c r="I82" s="13">
        <v>9932788247</v>
      </c>
      <c r="J82" s="13">
        <v>9932788247</v>
      </c>
      <c r="K82" s="18" t="s">
        <v>30</v>
      </c>
      <c r="L82" s="18" t="s">
        <v>312</v>
      </c>
      <c r="M82" s="19">
        <v>30774</v>
      </c>
      <c r="N82" s="19">
        <v>52717</v>
      </c>
      <c r="O82" s="19">
        <v>46244</v>
      </c>
      <c r="P82" s="27">
        <v>45531</v>
      </c>
      <c r="Q82" s="28">
        <v>45506</v>
      </c>
      <c r="R82" s="21" t="s">
        <v>378</v>
      </c>
      <c r="S82" s="21" t="s">
        <v>379</v>
      </c>
      <c r="T82" s="20"/>
      <c r="U82" s="20"/>
      <c r="V82" s="20"/>
      <c r="W82" s="22"/>
      <c r="X82" s="22"/>
      <c r="Y82" s="22"/>
      <c r="Z82" s="23"/>
      <c r="AB82" s="9">
        <f t="shared" ref="AB82:AB88" ca="1" si="26">INT((TODAY()-M82)/365)</f>
        <v>41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 spans="1:39" ht="15.75" customHeight="1">
      <c r="A83" s="105">
        <v>94</v>
      </c>
      <c r="B83" s="49" t="s">
        <v>380</v>
      </c>
      <c r="C83" s="18" t="s">
        <v>229</v>
      </c>
      <c r="D83" s="25">
        <v>50200162309</v>
      </c>
      <c r="E83" s="48" t="s">
        <v>381</v>
      </c>
      <c r="F83" s="82" t="s">
        <v>27</v>
      </c>
      <c r="G83" s="18" t="s">
        <v>28</v>
      </c>
      <c r="H83" s="13" t="s">
        <v>339</v>
      </c>
      <c r="I83" s="18">
        <v>9614666652</v>
      </c>
      <c r="J83" s="18">
        <v>9614666652</v>
      </c>
      <c r="K83" s="18" t="s">
        <v>30</v>
      </c>
      <c r="L83" s="18" t="s">
        <v>312</v>
      </c>
      <c r="M83" s="27">
        <v>31864</v>
      </c>
      <c r="N83" s="27">
        <v>53782</v>
      </c>
      <c r="O83" s="27">
        <v>45927</v>
      </c>
      <c r="P83" s="27">
        <v>45531</v>
      </c>
      <c r="Q83" s="28">
        <v>45506</v>
      </c>
      <c r="R83" s="69" t="s">
        <v>382</v>
      </c>
      <c r="S83" s="21" t="s">
        <v>383</v>
      </c>
      <c r="T83" s="7"/>
      <c r="U83" s="7"/>
      <c r="V83" s="20"/>
      <c r="W83" s="8"/>
      <c r="X83" s="8"/>
      <c r="Y83" s="22"/>
      <c r="Z83" s="23"/>
      <c r="AA83" s="8"/>
      <c r="AB83" s="9">
        <f t="shared" ca="1" si="26"/>
        <v>39</v>
      </c>
    </row>
    <row r="84" spans="1:39" ht="15.75" customHeight="1">
      <c r="A84" s="105">
        <v>91</v>
      </c>
      <c r="B84" s="49" t="s">
        <v>384</v>
      </c>
      <c r="C84" s="18" t="s">
        <v>229</v>
      </c>
      <c r="D84" s="25">
        <v>50200156097</v>
      </c>
      <c r="E84" s="48" t="s">
        <v>385</v>
      </c>
      <c r="F84" s="82" t="s">
        <v>27</v>
      </c>
      <c r="G84" s="30" t="s">
        <v>36</v>
      </c>
      <c r="H84" s="13" t="s">
        <v>339</v>
      </c>
      <c r="I84" s="18">
        <v>8170034427</v>
      </c>
      <c r="J84" s="18">
        <v>8170034427</v>
      </c>
      <c r="K84" s="18" t="s">
        <v>30</v>
      </c>
      <c r="L84" s="18" t="s">
        <v>58</v>
      </c>
      <c r="M84" s="27">
        <v>32569</v>
      </c>
      <c r="N84" s="27">
        <v>54513</v>
      </c>
      <c r="O84" s="27">
        <v>45899</v>
      </c>
      <c r="P84" s="27">
        <v>45531</v>
      </c>
      <c r="Q84" s="28">
        <v>45506</v>
      </c>
      <c r="R84" s="69" t="s">
        <v>386</v>
      </c>
      <c r="S84" s="21" t="s">
        <v>387</v>
      </c>
      <c r="T84" s="7"/>
      <c r="U84" s="7"/>
      <c r="V84" s="20"/>
      <c r="W84" s="22"/>
      <c r="X84" s="22"/>
      <c r="Y84" s="22"/>
      <c r="Z84" s="23"/>
      <c r="AA84" s="23"/>
      <c r="AB84" s="9">
        <f t="shared" ca="1" si="26"/>
        <v>37</v>
      </c>
    </row>
    <row r="85" spans="1:39" ht="15.75" customHeight="1">
      <c r="A85" s="105">
        <v>92</v>
      </c>
      <c r="B85" s="49" t="s">
        <v>388</v>
      </c>
      <c r="C85" s="18" t="s">
        <v>229</v>
      </c>
      <c r="D85" s="52">
        <v>50200158422</v>
      </c>
      <c r="E85" s="48" t="s">
        <v>389</v>
      </c>
      <c r="F85" s="82" t="s">
        <v>27</v>
      </c>
      <c r="G85" s="30" t="s">
        <v>36</v>
      </c>
      <c r="H85" s="13" t="s">
        <v>339</v>
      </c>
      <c r="I85" s="18">
        <v>9932647090</v>
      </c>
      <c r="J85" s="18"/>
      <c r="K85" s="18" t="s">
        <v>30</v>
      </c>
      <c r="L85" s="109" t="s">
        <v>46</v>
      </c>
      <c r="M85" s="27">
        <v>31421</v>
      </c>
      <c r="N85" s="27">
        <v>53358</v>
      </c>
      <c r="O85" s="27">
        <v>45916</v>
      </c>
      <c r="P85" s="27">
        <v>45531</v>
      </c>
      <c r="Q85" s="28">
        <v>45506</v>
      </c>
      <c r="R85" s="69" t="s">
        <v>390</v>
      </c>
      <c r="S85" s="21" t="s">
        <v>391</v>
      </c>
      <c r="T85" s="7"/>
      <c r="U85" s="7"/>
      <c r="V85" s="20"/>
      <c r="W85" s="8"/>
      <c r="X85" s="8"/>
      <c r="Y85" s="22"/>
      <c r="Z85" s="23"/>
      <c r="AA85" s="9"/>
      <c r="AB85" s="9">
        <f t="shared" ca="1" si="26"/>
        <v>40</v>
      </c>
    </row>
    <row r="86" spans="1:39" ht="14.25" customHeight="1">
      <c r="A86" s="105">
        <v>93</v>
      </c>
      <c r="B86" s="49" t="s">
        <v>392</v>
      </c>
      <c r="C86" s="18" t="s">
        <v>229</v>
      </c>
      <c r="D86" s="25">
        <v>50200162360</v>
      </c>
      <c r="E86" s="48" t="s">
        <v>393</v>
      </c>
      <c r="F86" s="82" t="s">
        <v>27</v>
      </c>
      <c r="G86" s="18" t="s">
        <v>28</v>
      </c>
      <c r="H86" s="13" t="s">
        <v>339</v>
      </c>
      <c r="I86" s="18">
        <v>8509083031</v>
      </c>
      <c r="J86" s="30">
        <v>8637891455</v>
      </c>
      <c r="K86" s="18" t="s">
        <v>30</v>
      </c>
      <c r="L86" s="22" t="s">
        <v>63</v>
      </c>
      <c r="M86" s="27">
        <v>30056</v>
      </c>
      <c r="N86" s="27">
        <v>51986</v>
      </c>
      <c r="O86" s="27">
        <v>45997</v>
      </c>
      <c r="P86" s="27">
        <v>45531</v>
      </c>
      <c r="Q86" s="28">
        <v>45506</v>
      </c>
      <c r="R86" s="69" t="s">
        <v>394</v>
      </c>
      <c r="S86" s="21" t="s">
        <v>395</v>
      </c>
      <c r="T86" s="7"/>
      <c r="U86" s="7"/>
      <c r="V86" s="20"/>
      <c r="W86" s="8"/>
      <c r="X86" s="8"/>
      <c r="Y86" s="22"/>
      <c r="Z86" s="23"/>
      <c r="AA86" s="9"/>
      <c r="AB86" s="9">
        <f t="shared" ca="1" si="26"/>
        <v>43</v>
      </c>
    </row>
    <row r="87" spans="1:39" ht="15.75" customHeight="1">
      <c r="A87" s="105">
        <v>118</v>
      </c>
      <c r="B87" s="49" t="s">
        <v>396</v>
      </c>
      <c r="C87" s="18" t="s">
        <v>229</v>
      </c>
      <c r="D87" s="25">
        <v>50208407988</v>
      </c>
      <c r="E87" s="48" t="s">
        <v>397</v>
      </c>
      <c r="F87" s="37" t="s">
        <v>27</v>
      </c>
      <c r="G87" s="18" t="s">
        <v>28</v>
      </c>
      <c r="H87" s="30"/>
      <c r="I87" s="18">
        <v>6291774770</v>
      </c>
      <c r="J87" s="51"/>
      <c r="K87" s="18" t="s">
        <v>30</v>
      </c>
      <c r="L87" s="109" t="s">
        <v>398</v>
      </c>
      <c r="M87" s="27">
        <v>29523</v>
      </c>
      <c r="N87" s="27">
        <v>51440</v>
      </c>
      <c r="O87" s="27">
        <v>45539</v>
      </c>
      <c r="P87" s="19">
        <v>45539</v>
      </c>
      <c r="Q87" s="27">
        <v>45187</v>
      </c>
      <c r="R87" s="69" t="s">
        <v>399</v>
      </c>
      <c r="S87" s="7"/>
      <c r="T87" s="21" t="s">
        <v>400</v>
      </c>
      <c r="U87" s="7"/>
      <c r="V87" s="20"/>
      <c r="W87" s="8"/>
      <c r="X87" s="23"/>
      <c r="Y87" s="4"/>
      <c r="Z87" s="23"/>
      <c r="AA87" s="8"/>
      <c r="AB87" s="44">
        <f t="shared" ca="1" si="26"/>
        <v>45</v>
      </c>
    </row>
    <row r="88" spans="1:39" ht="15.75" customHeight="1">
      <c r="A88" s="105">
        <v>73</v>
      </c>
      <c r="B88" s="57" t="s">
        <v>401</v>
      </c>
      <c r="C88" s="18" t="s">
        <v>229</v>
      </c>
      <c r="D88" s="35">
        <v>50205618794</v>
      </c>
      <c r="E88" s="22" t="s">
        <v>402</v>
      </c>
      <c r="F88" s="82" t="s">
        <v>27</v>
      </c>
      <c r="G88" s="16" t="s">
        <v>36</v>
      </c>
      <c r="H88" s="13" t="s">
        <v>339</v>
      </c>
      <c r="I88" s="13">
        <v>9647666802</v>
      </c>
      <c r="J88" s="13">
        <v>9647666802</v>
      </c>
      <c r="K88" s="18" t="s">
        <v>30</v>
      </c>
      <c r="L88" s="18" t="s">
        <v>312</v>
      </c>
      <c r="M88" s="19">
        <v>33212</v>
      </c>
      <c r="N88" s="19">
        <v>55153</v>
      </c>
      <c r="O88" s="19">
        <v>46236</v>
      </c>
      <c r="P88" s="27">
        <v>45363</v>
      </c>
      <c r="Q88" s="27">
        <v>45307</v>
      </c>
      <c r="R88" s="21" t="s">
        <v>403</v>
      </c>
      <c r="S88" s="21" t="s">
        <v>404</v>
      </c>
      <c r="T88" s="21" t="s">
        <v>405</v>
      </c>
      <c r="U88" s="20"/>
      <c r="V88" s="20">
        <f>LEN(D88)</f>
        <v>11</v>
      </c>
      <c r="W88" s="22"/>
      <c r="X88" s="29">
        <f ca="1">INT((TODAY()-M88)/365)</f>
        <v>35</v>
      </c>
      <c r="Y88" s="22"/>
      <c r="Z88" s="23"/>
      <c r="AB88" s="9">
        <f t="shared" ca="1" si="26"/>
        <v>35</v>
      </c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 spans="1:39" ht="15.75" customHeight="1">
      <c r="A89" s="110">
        <v>5</v>
      </c>
      <c r="B89" s="57" t="s">
        <v>406</v>
      </c>
      <c r="C89" s="13" t="s">
        <v>229</v>
      </c>
      <c r="D89" s="111">
        <v>50204090780</v>
      </c>
      <c r="E89" s="112" t="s">
        <v>407</v>
      </c>
      <c r="F89" s="82" t="s">
        <v>27</v>
      </c>
      <c r="G89" s="32" t="s">
        <v>28</v>
      </c>
      <c r="H89" s="13" t="s">
        <v>37</v>
      </c>
      <c r="I89" s="13">
        <v>9002071342</v>
      </c>
      <c r="J89" s="17">
        <v>9830679373</v>
      </c>
      <c r="K89" s="18" t="s">
        <v>30</v>
      </c>
      <c r="L89" s="18" t="s">
        <v>31</v>
      </c>
      <c r="M89" s="19">
        <v>28248</v>
      </c>
      <c r="N89" s="19">
        <v>50191</v>
      </c>
      <c r="O89" s="19">
        <v>45418</v>
      </c>
      <c r="P89" s="19">
        <v>46136</v>
      </c>
      <c r="Q89" s="28">
        <v>45731</v>
      </c>
      <c r="R89" s="20"/>
      <c r="S89" s="20"/>
      <c r="T89" s="21" t="s">
        <v>408</v>
      </c>
      <c r="U89" s="20"/>
      <c r="V89" s="20"/>
      <c r="W89" s="22"/>
      <c r="X89" s="22" t="s">
        <v>409</v>
      </c>
      <c r="Y89" s="22">
        <v>2</v>
      </c>
      <c r="Z89" s="26" t="s">
        <v>410</v>
      </c>
      <c r="AB89" s="113" t="s">
        <v>411</v>
      </c>
    </row>
    <row r="90" spans="1:39" ht="15.75" customHeight="1">
      <c r="A90" s="98">
        <v>27</v>
      </c>
      <c r="B90" s="91" t="s">
        <v>412</v>
      </c>
      <c r="C90" s="22" t="s">
        <v>250</v>
      </c>
      <c r="D90" s="114" t="s">
        <v>413</v>
      </c>
      <c r="E90" s="22" t="s">
        <v>414</v>
      </c>
      <c r="F90" s="18" t="s">
        <v>27</v>
      </c>
      <c r="G90" s="22" t="s">
        <v>28</v>
      </c>
      <c r="H90" s="18"/>
      <c r="I90" s="90">
        <v>9433757495</v>
      </c>
      <c r="J90" s="48"/>
      <c r="K90" s="18" t="s">
        <v>30</v>
      </c>
      <c r="L90" s="18" t="s">
        <v>76</v>
      </c>
      <c r="M90" s="27">
        <v>32222</v>
      </c>
      <c r="N90" s="27">
        <v>54148</v>
      </c>
      <c r="O90" s="100">
        <v>45977</v>
      </c>
      <c r="P90" s="19">
        <v>45222</v>
      </c>
      <c r="Q90" s="6">
        <v>45113</v>
      </c>
      <c r="R90" s="21" t="s">
        <v>415</v>
      </c>
      <c r="S90" s="21" t="s">
        <v>416</v>
      </c>
      <c r="T90" s="23"/>
      <c r="U90" s="26"/>
      <c r="V90" s="23"/>
      <c r="W90" s="23"/>
      <c r="X90" s="44">
        <f ca="1">INT((TODAY()-M90)/365)</f>
        <v>38</v>
      </c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 spans="1:39" ht="16.5" customHeight="1">
      <c r="A91" s="115">
        <v>27</v>
      </c>
      <c r="B91" s="91" t="s">
        <v>417</v>
      </c>
      <c r="C91" s="22" t="s">
        <v>250</v>
      </c>
      <c r="D91" s="114" t="s">
        <v>418</v>
      </c>
      <c r="E91" s="116" t="s">
        <v>419</v>
      </c>
      <c r="F91" s="58" t="s">
        <v>27</v>
      </c>
      <c r="G91" s="22" t="s">
        <v>28</v>
      </c>
      <c r="H91" s="18"/>
      <c r="I91" s="50">
        <v>9147918097</v>
      </c>
      <c r="J91" s="48"/>
      <c r="K91" s="18" t="s">
        <v>30</v>
      </c>
      <c r="L91" s="22" t="s">
        <v>420</v>
      </c>
      <c r="M91" s="6">
        <v>31778</v>
      </c>
      <c r="N91" s="6">
        <v>53692</v>
      </c>
      <c r="O91" s="100">
        <v>46138</v>
      </c>
      <c r="P91" s="27">
        <v>45566</v>
      </c>
      <c r="Q91" s="6">
        <v>45605</v>
      </c>
      <c r="R91" s="80" t="s">
        <v>421</v>
      </c>
      <c r="S91" s="113" t="s">
        <v>422</v>
      </c>
      <c r="V91" s="78"/>
      <c r="W91" s="44"/>
      <c r="X91" s="117"/>
    </row>
    <row r="92" spans="1:39" ht="15.75" customHeight="1">
      <c r="A92" s="98">
        <v>32</v>
      </c>
      <c r="B92" s="118" t="s">
        <v>423</v>
      </c>
      <c r="C92" s="22" t="s">
        <v>250</v>
      </c>
      <c r="D92" s="119" t="s">
        <v>424</v>
      </c>
      <c r="E92" s="116" t="s">
        <v>425</v>
      </c>
      <c r="F92" s="120" t="s">
        <v>27</v>
      </c>
      <c r="G92" s="16" t="s">
        <v>28</v>
      </c>
      <c r="H92" s="13"/>
      <c r="I92" s="13">
        <v>7980110215</v>
      </c>
      <c r="J92" s="13">
        <v>7980110215</v>
      </c>
      <c r="K92" s="18" t="s">
        <v>30</v>
      </c>
      <c r="L92" s="22" t="s">
        <v>63</v>
      </c>
      <c r="M92" s="95">
        <v>32253</v>
      </c>
      <c r="N92" s="19">
        <v>54178</v>
      </c>
      <c r="O92" s="19">
        <v>45958</v>
      </c>
      <c r="P92" s="27">
        <v>45791</v>
      </c>
      <c r="Q92" s="27">
        <v>45801</v>
      </c>
      <c r="R92" s="21" t="s">
        <v>426</v>
      </c>
      <c r="S92" s="20"/>
      <c r="T92" s="20"/>
      <c r="U92" s="20"/>
      <c r="V92" s="20"/>
      <c r="W92" s="22"/>
      <c r="X92" s="22"/>
      <c r="Y92" s="22"/>
      <c r="Z92" s="23"/>
      <c r="AA92" s="23"/>
      <c r="AB92" s="9"/>
    </row>
    <row r="93" spans="1:39">
      <c r="A93" s="121">
        <v>1</v>
      </c>
      <c r="B93" s="24" t="s">
        <v>427</v>
      </c>
      <c r="C93" s="30" t="s">
        <v>428</v>
      </c>
      <c r="D93" s="122">
        <v>33229815517</v>
      </c>
      <c r="E93" s="116" t="s">
        <v>429</v>
      </c>
      <c r="F93" s="37" t="s">
        <v>27</v>
      </c>
      <c r="G93" s="30" t="s">
        <v>28</v>
      </c>
      <c r="H93" s="30"/>
      <c r="I93" s="30">
        <v>9804172760</v>
      </c>
      <c r="J93" s="30"/>
      <c r="K93" s="18" t="s">
        <v>30</v>
      </c>
      <c r="L93" s="22" t="s">
        <v>63</v>
      </c>
      <c r="M93" s="27">
        <v>33321</v>
      </c>
      <c r="N93" s="27">
        <v>55243</v>
      </c>
      <c r="O93" s="27">
        <v>45133</v>
      </c>
      <c r="P93" s="27">
        <v>45323</v>
      </c>
      <c r="Q93" s="28"/>
      <c r="R93" s="66" t="s">
        <v>430</v>
      </c>
      <c r="S93" s="33"/>
      <c r="T93" s="33"/>
      <c r="U93" s="33"/>
      <c r="V93" s="67"/>
      <c r="W93" s="40"/>
      <c r="X93" s="23"/>
      <c r="Y93" s="40"/>
      <c r="Z93" s="23"/>
      <c r="AA93" s="67"/>
      <c r="AB93" s="29"/>
      <c r="AC93" s="67"/>
      <c r="AD93" s="67"/>
      <c r="AE93" s="67"/>
      <c r="AF93" s="67"/>
      <c r="AG93" s="67"/>
      <c r="AH93" s="67"/>
      <c r="AI93" s="45"/>
      <c r="AJ93" s="45"/>
      <c r="AK93" s="45"/>
      <c r="AL93" s="45"/>
      <c r="AM93" s="45"/>
    </row>
    <row r="94" spans="1:39" ht="15.75" customHeight="1">
      <c r="A94" s="121">
        <v>5</v>
      </c>
      <c r="B94" s="24" t="s">
        <v>431</v>
      </c>
      <c r="C94" s="30" t="s">
        <v>428</v>
      </c>
      <c r="D94" s="123">
        <v>18229802732</v>
      </c>
      <c r="E94" s="124" t="s">
        <v>432</v>
      </c>
      <c r="F94" s="37" t="s">
        <v>27</v>
      </c>
      <c r="G94" s="30" t="s">
        <v>28</v>
      </c>
      <c r="H94" s="30"/>
      <c r="I94" s="50">
        <v>9147918081</v>
      </c>
      <c r="J94" s="30"/>
      <c r="K94" s="18" t="s">
        <v>30</v>
      </c>
      <c r="L94" s="18" t="s">
        <v>46</v>
      </c>
      <c r="M94" s="27">
        <v>32249</v>
      </c>
      <c r="N94" s="27">
        <v>54178</v>
      </c>
      <c r="O94" s="27"/>
      <c r="P94" s="27"/>
      <c r="Q94" s="28"/>
      <c r="R94" s="33"/>
      <c r="S94" s="33"/>
      <c r="T94" s="33"/>
      <c r="U94" s="33"/>
      <c r="V94" s="67"/>
      <c r="W94" s="40"/>
      <c r="X94" s="23"/>
      <c r="Y94" s="8"/>
      <c r="Z94" s="8"/>
      <c r="AA94" s="9"/>
      <c r="AB94" s="9">
        <f t="shared" ref="AB94:AB96" ca="1" si="27">INT((TODAY()-M94)/365)</f>
        <v>37</v>
      </c>
    </row>
    <row r="95" spans="1:39" ht="15.75" customHeight="1">
      <c r="A95" s="121">
        <v>7</v>
      </c>
      <c r="B95" s="24" t="s">
        <v>433</v>
      </c>
      <c r="C95" s="30" t="s">
        <v>428</v>
      </c>
      <c r="D95" s="125">
        <v>3429802236</v>
      </c>
      <c r="E95" s="126" t="s">
        <v>434</v>
      </c>
      <c r="F95" s="37" t="s">
        <v>27</v>
      </c>
      <c r="G95" s="30" t="s">
        <v>36</v>
      </c>
      <c r="H95" s="30"/>
      <c r="I95" s="50">
        <v>9580945858</v>
      </c>
      <c r="J95" s="30"/>
      <c r="K95" s="18" t="s">
        <v>30</v>
      </c>
      <c r="L95" s="13" t="s">
        <v>312</v>
      </c>
      <c r="M95" s="27">
        <v>31932</v>
      </c>
      <c r="N95" s="27">
        <v>53873</v>
      </c>
      <c r="O95" s="27">
        <v>45171</v>
      </c>
      <c r="P95" s="27">
        <v>46019</v>
      </c>
      <c r="Q95" s="28">
        <v>45913</v>
      </c>
      <c r="R95" s="66" t="s">
        <v>435</v>
      </c>
      <c r="S95" s="33"/>
      <c r="T95" s="33"/>
      <c r="U95" s="33"/>
      <c r="V95" s="67"/>
      <c r="W95" s="40"/>
      <c r="X95" s="23"/>
      <c r="Y95" s="8"/>
      <c r="Z95" s="8"/>
      <c r="AA95" s="8"/>
      <c r="AB95" s="9">
        <f t="shared" ca="1" si="27"/>
        <v>38</v>
      </c>
    </row>
    <row r="96" spans="1:39" ht="15.75" customHeight="1">
      <c r="A96" s="121">
        <v>9</v>
      </c>
      <c r="B96" s="24" t="s">
        <v>436</v>
      </c>
      <c r="C96" s="30" t="s">
        <v>428</v>
      </c>
      <c r="D96" s="123">
        <v>18229803131</v>
      </c>
      <c r="E96" s="124" t="s">
        <v>437</v>
      </c>
      <c r="F96" s="37" t="s">
        <v>27</v>
      </c>
      <c r="G96" s="30" t="s">
        <v>28</v>
      </c>
      <c r="H96" s="30"/>
      <c r="I96" s="55">
        <v>9641341125</v>
      </c>
      <c r="J96" s="30"/>
      <c r="K96" s="18" t="s">
        <v>30</v>
      </c>
      <c r="L96" s="18" t="s">
        <v>31</v>
      </c>
      <c r="M96" s="127">
        <v>32630</v>
      </c>
      <c r="N96" s="127">
        <v>54574</v>
      </c>
      <c r="O96" s="27"/>
      <c r="P96" s="27"/>
      <c r="Q96" s="28"/>
      <c r="R96" s="66" t="s">
        <v>438</v>
      </c>
      <c r="S96" s="33"/>
      <c r="T96" s="33"/>
      <c r="U96" s="33"/>
      <c r="V96" s="67"/>
      <c r="W96" s="40"/>
      <c r="X96" s="23"/>
      <c r="Y96" s="8"/>
      <c r="Z96" s="8"/>
      <c r="AA96" s="8"/>
      <c r="AB96" s="44">
        <f t="shared" ca="1" si="27"/>
        <v>36</v>
      </c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</row>
    <row r="97" spans="1:39">
      <c r="A97" s="121">
        <v>10</v>
      </c>
      <c r="B97" s="24" t="s">
        <v>439</v>
      </c>
      <c r="C97" s="30" t="s">
        <v>428</v>
      </c>
      <c r="D97" s="123">
        <v>3429801259</v>
      </c>
      <c r="E97" s="72" t="s">
        <v>440</v>
      </c>
      <c r="F97" s="37" t="s">
        <v>27</v>
      </c>
      <c r="G97" s="30" t="s">
        <v>36</v>
      </c>
      <c r="H97" s="30"/>
      <c r="I97" s="50">
        <v>9147918086</v>
      </c>
      <c r="J97" s="30"/>
      <c r="K97" s="18" t="s">
        <v>30</v>
      </c>
      <c r="L97" s="18" t="s">
        <v>31</v>
      </c>
      <c r="M97" s="6">
        <v>32908</v>
      </c>
      <c r="N97" s="6">
        <v>54847</v>
      </c>
      <c r="O97" s="27"/>
      <c r="P97" s="27"/>
      <c r="Q97" s="28"/>
      <c r="R97" s="66" t="s">
        <v>441</v>
      </c>
      <c r="S97" s="33"/>
      <c r="T97" s="33"/>
      <c r="U97" s="33"/>
      <c r="V97" s="67"/>
      <c r="W97" s="40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 spans="1:39" ht="15.75" customHeight="1">
      <c r="A98" s="121">
        <v>12</v>
      </c>
      <c r="B98" s="24" t="s">
        <v>442</v>
      </c>
      <c r="C98" s="30" t="s">
        <v>428</v>
      </c>
      <c r="D98" s="123">
        <v>3429802782</v>
      </c>
      <c r="E98" s="72" t="s">
        <v>443</v>
      </c>
      <c r="F98" s="37" t="s">
        <v>27</v>
      </c>
      <c r="G98" s="30" t="s">
        <v>28</v>
      </c>
      <c r="H98" s="30"/>
      <c r="I98" s="55">
        <v>7865855700</v>
      </c>
      <c r="J98" s="30"/>
      <c r="K98" s="18" t="s">
        <v>30</v>
      </c>
      <c r="L98" s="18" t="s">
        <v>31</v>
      </c>
      <c r="M98" s="27">
        <v>34228</v>
      </c>
      <c r="N98" s="27">
        <v>56157</v>
      </c>
      <c r="O98" s="27"/>
      <c r="P98" s="27"/>
      <c r="Q98" s="28"/>
      <c r="R98" s="66" t="s">
        <v>444</v>
      </c>
      <c r="S98" s="33"/>
      <c r="T98" s="33"/>
      <c r="U98" s="33"/>
      <c r="V98" s="67"/>
      <c r="W98" s="40"/>
      <c r="X98" s="23"/>
      <c r="Y98" s="22"/>
      <c r="Z98" s="23"/>
      <c r="AA98" s="23"/>
      <c r="AB98" s="9">
        <f ca="1">INT((TODAY()-M98)/365)</f>
        <v>32</v>
      </c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</row>
    <row r="99" spans="1:39">
      <c r="A99" s="121">
        <v>105</v>
      </c>
      <c r="B99" s="53" t="s">
        <v>445</v>
      </c>
      <c r="C99" s="30" t="s">
        <v>428</v>
      </c>
      <c r="D99" s="125">
        <v>3229803202</v>
      </c>
      <c r="E99" s="116" t="s">
        <v>446</v>
      </c>
      <c r="F99" s="37" t="s">
        <v>27</v>
      </c>
      <c r="G99" s="30" t="s">
        <v>28</v>
      </c>
      <c r="H99" s="30"/>
      <c r="I99" s="50">
        <v>7980652920</v>
      </c>
      <c r="J99" s="30"/>
      <c r="K99" s="18" t="s">
        <v>30</v>
      </c>
      <c r="L99" s="18" t="s">
        <v>46</v>
      </c>
      <c r="M99" s="27">
        <v>33789</v>
      </c>
      <c r="N99" s="27">
        <v>55731</v>
      </c>
      <c r="O99" s="27"/>
      <c r="P99" s="27"/>
      <c r="Q99" s="6"/>
      <c r="R99" s="26"/>
      <c r="S99" s="33"/>
      <c r="T99" s="33"/>
      <c r="U99" s="33"/>
      <c r="V99" s="67"/>
      <c r="W99" s="40"/>
      <c r="X99" s="23"/>
      <c r="Y99" s="40"/>
      <c r="Z99" s="23"/>
      <c r="AA99" s="67"/>
      <c r="AB99" s="29"/>
      <c r="AC99" s="67"/>
      <c r="AD99" s="67"/>
      <c r="AE99" s="67"/>
      <c r="AF99" s="67"/>
      <c r="AG99" s="67"/>
      <c r="AH99" s="67"/>
      <c r="AI99" s="45"/>
      <c r="AJ99" s="45"/>
      <c r="AK99" s="45"/>
      <c r="AL99" s="45"/>
      <c r="AM99" s="45"/>
    </row>
    <row r="100" spans="1:39">
      <c r="A100" s="121">
        <v>111</v>
      </c>
      <c r="B100" s="53" t="s">
        <v>447</v>
      </c>
      <c r="C100" s="30" t="s">
        <v>428</v>
      </c>
      <c r="D100" s="128">
        <v>18429806456</v>
      </c>
      <c r="E100" s="124" t="s">
        <v>448</v>
      </c>
      <c r="F100" s="37" t="s">
        <v>27</v>
      </c>
      <c r="G100" s="30" t="s">
        <v>28</v>
      </c>
      <c r="H100" s="30"/>
      <c r="I100" s="128">
        <v>8016061804</v>
      </c>
      <c r="J100" s="23"/>
      <c r="K100" s="18" t="s">
        <v>30</v>
      </c>
      <c r="L100" s="18" t="s">
        <v>449</v>
      </c>
      <c r="M100" s="27">
        <v>32749</v>
      </c>
      <c r="N100" s="27">
        <v>54666</v>
      </c>
      <c r="O100" s="27"/>
      <c r="P100" s="27"/>
      <c r="Q100" s="6"/>
      <c r="R100" s="26"/>
      <c r="S100" s="33"/>
      <c r="T100" s="33"/>
      <c r="U100" s="33"/>
      <c r="V100" s="67"/>
      <c r="W100" s="40"/>
      <c r="X100" s="23"/>
      <c r="Y100" s="40"/>
      <c r="Z100" s="23"/>
      <c r="AA100" s="67"/>
      <c r="AB100" s="29"/>
      <c r="AC100" s="67"/>
      <c r="AD100" s="67"/>
      <c r="AE100" s="67"/>
      <c r="AF100" s="67"/>
      <c r="AG100" s="67"/>
      <c r="AH100" s="67"/>
      <c r="AI100" s="45"/>
      <c r="AJ100" s="45"/>
      <c r="AK100" s="45"/>
      <c r="AL100" s="45"/>
      <c r="AM100" s="45"/>
    </row>
    <row r="101" spans="1:39" ht="15.75" customHeight="1">
      <c r="A101" s="98">
        <v>79</v>
      </c>
      <c r="B101" s="129" t="s">
        <v>450</v>
      </c>
      <c r="C101" s="130" t="s">
        <v>428</v>
      </c>
      <c r="D101" s="131">
        <v>3429801856</v>
      </c>
      <c r="E101" s="132" t="s">
        <v>451</v>
      </c>
      <c r="F101" s="133" t="s">
        <v>27</v>
      </c>
      <c r="G101" s="134" t="s">
        <v>36</v>
      </c>
      <c r="H101" s="134"/>
      <c r="I101" s="134">
        <v>9576396255</v>
      </c>
      <c r="J101" s="134"/>
      <c r="K101" s="134" t="s">
        <v>30</v>
      </c>
      <c r="L101" s="135" t="s">
        <v>449</v>
      </c>
      <c r="M101" s="136">
        <v>32843</v>
      </c>
      <c r="N101" s="136">
        <v>54757</v>
      </c>
      <c r="O101" s="137">
        <v>45185</v>
      </c>
      <c r="P101" s="136">
        <v>45566</v>
      </c>
      <c r="Q101" s="136">
        <v>45552</v>
      </c>
      <c r="R101" s="138" t="s">
        <v>452</v>
      </c>
      <c r="S101" s="138" t="s">
        <v>453</v>
      </c>
      <c r="T101" s="139"/>
      <c r="U101" s="139"/>
      <c r="V101" s="140"/>
      <c r="W101" s="141"/>
      <c r="X101" s="141"/>
      <c r="Y101" s="141"/>
      <c r="Z101" s="141"/>
      <c r="AA101" s="141"/>
      <c r="AB101" s="142" t="s">
        <v>454</v>
      </c>
      <c r="AC101" s="143"/>
      <c r="AD101" s="143"/>
      <c r="AE101" s="143"/>
      <c r="AF101" s="143"/>
      <c r="AG101" s="143"/>
      <c r="AH101" s="143"/>
      <c r="AI101" s="143"/>
      <c r="AJ101" s="143"/>
      <c r="AK101" s="143"/>
    </row>
    <row r="102" spans="1:39" ht="18.75">
      <c r="A102" s="11">
        <v>49</v>
      </c>
      <c r="B102" s="43" t="s">
        <v>455</v>
      </c>
      <c r="C102" s="13" t="s">
        <v>428</v>
      </c>
      <c r="D102" s="35">
        <v>18229802727</v>
      </c>
      <c r="E102" s="16" t="s">
        <v>456</v>
      </c>
      <c r="F102" s="26" t="s">
        <v>27</v>
      </c>
      <c r="G102" s="16" t="s">
        <v>36</v>
      </c>
      <c r="H102" s="18"/>
      <c r="I102" s="13"/>
      <c r="J102" s="13"/>
      <c r="K102" s="18" t="s">
        <v>30</v>
      </c>
      <c r="L102" s="18" t="s">
        <v>31</v>
      </c>
      <c r="M102" s="19">
        <v>33090</v>
      </c>
      <c r="N102" s="19">
        <v>55031</v>
      </c>
      <c r="O102" s="19"/>
      <c r="P102" s="27"/>
      <c r="Q102" s="27"/>
      <c r="R102" s="23"/>
      <c r="S102" s="20"/>
      <c r="T102" s="20"/>
      <c r="U102" s="20"/>
      <c r="V102" s="20"/>
      <c r="W102" s="22"/>
      <c r="X102" s="29">
        <f ca="1">INT((TODAY()-M102)/365)</f>
        <v>35</v>
      </c>
      <c r="Y102" s="23"/>
      <c r="Z102" s="23"/>
    </row>
    <row r="103" spans="1:39" ht="15" customHeight="1">
      <c r="A103" s="23"/>
      <c r="B103" s="144" t="s">
        <v>457</v>
      </c>
      <c r="C103" s="18" t="s">
        <v>428</v>
      </c>
      <c r="D103" s="144">
        <v>3329804582</v>
      </c>
      <c r="E103" s="144" t="s">
        <v>458</v>
      </c>
      <c r="F103" s="26" t="s">
        <v>27</v>
      </c>
      <c r="G103" s="145" t="s">
        <v>28</v>
      </c>
      <c r="H103" s="22"/>
      <c r="I103" s="23"/>
      <c r="J103" s="23"/>
      <c r="K103" s="18" t="s">
        <v>30</v>
      </c>
      <c r="L103" s="22" t="s">
        <v>76</v>
      </c>
      <c r="M103" s="27">
        <v>32841</v>
      </c>
      <c r="N103" s="146">
        <v>54757</v>
      </c>
      <c r="O103" s="23"/>
      <c r="P103" s="23"/>
      <c r="Q103" s="23"/>
      <c r="R103" s="147" t="s">
        <v>459</v>
      </c>
      <c r="S103" s="23"/>
      <c r="T103" s="23"/>
      <c r="U103" s="23"/>
      <c r="V103" s="23"/>
      <c r="W103" s="23"/>
      <c r="X103" s="23"/>
      <c r="Y103" s="23"/>
      <c r="Z103" s="23"/>
    </row>
    <row r="104" spans="1:39" ht="18.75">
      <c r="A104" s="105"/>
      <c r="B104" s="144" t="s">
        <v>460</v>
      </c>
      <c r="C104" s="18" t="s">
        <v>428</v>
      </c>
      <c r="D104" s="148" t="s">
        <v>461</v>
      </c>
      <c r="E104" s="144" t="s">
        <v>462</v>
      </c>
      <c r="F104" s="26" t="s">
        <v>27</v>
      </c>
      <c r="G104" s="145" t="s">
        <v>28</v>
      </c>
      <c r="H104" s="13"/>
      <c r="I104" s="149"/>
      <c r="J104" s="13"/>
      <c r="K104" s="18" t="s">
        <v>30</v>
      </c>
      <c r="L104" s="22" t="s">
        <v>76</v>
      </c>
      <c r="M104" s="27">
        <v>34734</v>
      </c>
      <c r="N104" s="19">
        <v>56673</v>
      </c>
      <c r="O104" s="19"/>
      <c r="P104" s="27"/>
      <c r="Q104" s="27"/>
      <c r="R104" s="21" t="s">
        <v>463</v>
      </c>
      <c r="S104" s="20"/>
      <c r="T104" s="20"/>
      <c r="U104" s="20"/>
      <c r="V104" s="20"/>
      <c r="W104" s="22"/>
      <c r="X104" s="22"/>
      <c r="Y104" s="8"/>
      <c r="Z104" s="8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 spans="1:39" ht="15.75" customHeight="1">
      <c r="A105" s="11">
        <v>61</v>
      </c>
      <c r="B105" s="144" t="s">
        <v>464</v>
      </c>
      <c r="C105" s="22" t="s">
        <v>428</v>
      </c>
      <c r="D105" s="150">
        <v>3329805593</v>
      </c>
      <c r="E105" s="144" t="s">
        <v>465</v>
      </c>
      <c r="F105" s="82" t="s">
        <v>27</v>
      </c>
      <c r="G105" s="145" t="s">
        <v>28</v>
      </c>
      <c r="H105" s="18"/>
      <c r="I105" s="18"/>
      <c r="J105" s="18"/>
      <c r="K105" s="18" t="s">
        <v>30</v>
      </c>
      <c r="L105" s="18" t="s">
        <v>63</v>
      </c>
      <c r="M105" s="27">
        <v>35485</v>
      </c>
      <c r="N105" s="27">
        <f t="shared" ref="N105:N116" si="28">EOMONTH(M105,(12*60))</f>
        <v>57404</v>
      </c>
      <c r="O105" s="27"/>
      <c r="P105" s="27"/>
      <c r="Q105" s="27"/>
      <c r="R105" s="147" t="s">
        <v>466</v>
      </c>
      <c r="S105" s="7"/>
      <c r="T105" s="7"/>
      <c r="U105" s="7"/>
      <c r="V105" s="8"/>
      <c r="W105" s="8"/>
      <c r="X105" s="29">
        <f t="shared" ref="X105:X106" ca="1" si="29">INT((TODAY()-M105)/365)</f>
        <v>29</v>
      </c>
      <c r="Y105" s="23"/>
      <c r="Z105" s="23"/>
    </row>
    <row r="106" spans="1:39" ht="15.75" customHeight="1">
      <c r="A106" s="11">
        <v>66</v>
      </c>
      <c r="B106" s="144" t="s">
        <v>467</v>
      </c>
      <c r="C106" s="22" t="s">
        <v>428</v>
      </c>
      <c r="D106" s="150">
        <v>3329806272</v>
      </c>
      <c r="E106" s="144" t="s">
        <v>468</v>
      </c>
      <c r="F106" s="26" t="s">
        <v>27</v>
      </c>
      <c r="G106" s="145" t="s">
        <v>28</v>
      </c>
      <c r="H106" s="18"/>
      <c r="I106" s="18"/>
      <c r="J106" s="42"/>
      <c r="K106" s="18" t="s">
        <v>30</v>
      </c>
      <c r="L106" s="18" t="s">
        <v>31</v>
      </c>
      <c r="M106" s="27">
        <v>34421</v>
      </c>
      <c r="N106" s="27">
        <f t="shared" si="28"/>
        <v>56339</v>
      </c>
      <c r="O106" s="27"/>
      <c r="P106" s="27"/>
      <c r="Q106" s="28"/>
      <c r="R106" s="147" t="s">
        <v>469</v>
      </c>
      <c r="S106" s="7"/>
      <c r="T106" s="7"/>
      <c r="U106" s="33"/>
      <c r="V106" s="8"/>
      <c r="W106" s="8"/>
      <c r="X106" s="29">
        <f t="shared" ca="1" si="29"/>
        <v>31</v>
      </c>
      <c r="Y106" s="23"/>
      <c r="Z106" s="23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 spans="1:39" ht="15.75" customHeight="1">
      <c r="A107" s="4"/>
      <c r="B107" s="7" t="s">
        <v>470</v>
      </c>
      <c r="C107" s="4" t="s">
        <v>428</v>
      </c>
      <c r="D107" s="151" t="s">
        <v>471</v>
      </c>
      <c r="E107" s="72" t="s">
        <v>472</v>
      </c>
      <c r="F107" s="103" t="s">
        <v>27</v>
      </c>
      <c r="G107" s="4" t="s">
        <v>36</v>
      </c>
      <c r="H107" s="4"/>
      <c r="I107" s="4"/>
      <c r="J107" s="4"/>
      <c r="K107" s="18" t="s">
        <v>30</v>
      </c>
      <c r="L107" s="4" t="s">
        <v>46</v>
      </c>
      <c r="M107" s="27">
        <v>35441</v>
      </c>
      <c r="N107" s="27">
        <f t="shared" si="28"/>
        <v>57376</v>
      </c>
      <c r="O107" s="6"/>
      <c r="P107" s="6"/>
      <c r="Q107" s="6"/>
      <c r="R107" s="147" t="s">
        <v>473</v>
      </c>
      <c r="S107" s="7"/>
      <c r="T107" s="7"/>
      <c r="U107" s="7"/>
      <c r="V107" s="8"/>
      <c r="W107" s="8"/>
      <c r="X107" s="4"/>
      <c r="Y107" s="8"/>
      <c r="Z107" s="8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spans="1:39" ht="15.75" customHeight="1">
      <c r="A108" s="11">
        <v>68</v>
      </c>
      <c r="B108" s="152" t="s">
        <v>474</v>
      </c>
      <c r="C108" s="4" t="s">
        <v>428</v>
      </c>
      <c r="D108" s="56">
        <v>50205627746</v>
      </c>
      <c r="E108" s="18"/>
      <c r="F108" s="26"/>
      <c r="G108" s="18" t="s">
        <v>36</v>
      </c>
      <c r="H108" s="18"/>
      <c r="I108" s="18"/>
      <c r="J108" s="18"/>
      <c r="K108" s="18" t="s">
        <v>30</v>
      </c>
      <c r="L108" s="56" t="s">
        <v>475</v>
      </c>
      <c r="M108" s="27">
        <v>31879</v>
      </c>
      <c r="N108" s="27">
        <f t="shared" si="28"/>
        <v>53812</v>
      </c>
      <c r="O108" s="27"/>
      <c r="P108" s="27"/>
      <c r="Q108" s="27"/>
      <c r="R108" s="147" t="s">
        <v>476</v>
      </c>
      <c r="S108" s="7"/>
      <c r="T108" s="7"/>
      <c r="U108" s="7"/>
      <c r="V108" s="8"/>
      <c r="W108" s="8"/>
      <c r="X108" s="29">
        <f ca="1">INT((TODAY()-M108)/365)</f>
        <v>38</v>
      </c>
      <c r="Y108" s="23"/>
      <c r="Z108" s="23"/>
    </row>
    <row r="109" spans="1:39" ht="15.75" customHeight="1">
      <c r="A109" s="4"/>
      <c r="B109" s="152" t="s">
        <v>477</v>
      </c>
      <c r="C109" s="153" t="s">
        <v>428</v>
      </c>
      <c r="D109" s="56">
        <v>3329806123</v>
      </c>
      <c r="E109" s="23"/>
      <c r="F109" s="154"/>
      <c r="G109" s="4"/>
      <c r="H109" s="4"/>
      <c r="I109" s="4"/>
      <c r="J109" s="4"/>
      <c r="K109" s="18" t="s">
        <v>30</v>
      </c>
      <c r="L109" s="155" t="s">
        <v>46</v>
      </c>
      <c r="M109" s="156">
        <v>34783</v>
      </c>
      <c r="N109" s="19">
        <f t="shared" si="28"/>
        <v>56704</v>
      </c>
      <c r="O109" s="6"/>
      <c r="P109" s="6"/>
      <c r="Q109" s="6"/>
      <c r="R109" s="21" t="s">
        <v>478</v>
      </c>
      <c r="S109" s="7"/>
      <c r="T109" s="7"/>
      <c r="U109" s="7"/>
      <c r="V109" s="8"/>
      <c r="W109" s="8"/>
      <c r="X109" s="157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spans="1:39" ht="15" customHeight="1">
      <c r="A110" s="23"/>
      <c r="B110" s="152" t="s">
        <v>479</v>
      </c>
      <c r="C110" s="56" t="s">
        <v>428</v>
      </c>
      <c r="D110" s="56">
        <v>50205660282</v>
      </c>
      <c r="E110" s="23"/>
      <c r="F110" s="23"/>
      <c r="G110" s="23"/>
      <c r="H110" s="23"/>
      <c r="I110" s="23"/>
      <c r="J110" s="23"/>
      <c r="K110" s="18" t="s">
        <v>30</v>
      </c>
      <c r="L110" s="109" t="s">
        <v>46</v>
      </c>
      <c r="M110" s="156">
        <v>31526</v>
      </c>
      <c r="N110" s="19">
        <f t="shared" si="28"/>
        <v>53447</v>
      </c>
      <c r="O110" s="23"/>
      <c r="P110" s="23"/>
      <c r="Q110" s="23"/>
      <c r="R110" s="147" t="s">
        <v>480</v>
      </c>
      <c r="S110" s="23"/>
      <c r="T110" s="23"/>
      <c r="U110" s="23"/>
      <c r="V110" s="23"/>
      <c r="W110" s="23"/>
    </row>
    <row r="111" spans="1:39" ht="15.75" customHeight="1">
      <c r="A111" s="4"/>
      <c r="B111" s="152" t="s">
        <v>481</v>
      </c>
      <c r="C111" s="153" t="s">
        <v>428</v>
      </c>
      <c r="D111" s="56">
        <v>9629800662</v>
      </c>
      <c r="E111" s="23"/>
      <c r="F111" s="22"/>
      <c r="G111" s="4"/>
      <c r="H111" s="4"/>
      <c r="I111" s="4"/>
      <c r="J111" s="4"/>
      <c r="K111" s="18" t="s">
        <v>30</v>
      </c>
      <c r="L111" s="155" t="s">
        <v>279</v>
      </c>
      <c r="M111" s="156">
        <v>34075</v>
      </c>
      <c r="N111" s="19">
        <f t="shared" si="28"/>
        <v>56004</v>
      </c>
      <c r="O111" s="6"/>
      <c r="P111" s="6"/>
      <c r="Q111" s="6"/>
      <c r="R111" s="21" t="s">
        <v>482</v>
      </c>
      <c r="S111" s="7"/>
      <c r="T111" s="7"/>
      <c r="U111" s="7"/>
      <c r="V111" s="8"/>
      <c r="W111" s="8"/>
      <c r="X111" s="157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</row>
    <row r="112" spans="1:39" ht="15.75" customHeight="1">
      <c r="A112" s="4"/>
      <c r="B112" s="152" t="s">
        <v>483</v>
      </c>
      <c r="C112" s="153" t="s">
        <v>428</v>
      </c>
      <c r="D112" s="56">
        <v>50205603663</v>
      </c>
      <c r="E112" s="23"/>
      <c r="F112" s="58"/>
      <c r="G112" s="4"/>
      <c r="H112" s="4"/>
      <c r="I112" s="4"/>
      <c r="J112" s="4"/>
      <c r="K112" s="18" t="s">
        <v>30</v>
      </c>
      <c r="L112" s="18" t="s">
        <v>58</v>
      </c>
      <c r="M112" s="156">
        <v>33658</v>
      </c>
      <c r="N112" s="19">
        <f t="shared" si="28"/>
        <v>55578</v>
      </c>
      <c r="O112" s="6"/>
      <c r="P112" s="6"/>
      <c r="Q112" s="6"/>
      <c r="R112" s="21" t="s">
        <v>484</v>
      </c>
      <c r="S112" s="7"/>
      <c r="T112" s="7"/>
      <c r="U112" s="7"/>
      <c r="V112" s="8"/>
      <c r="W112" s="8"/>
      <c r="X112" s="157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 spans="1:39" ht="15.75" customHeight="1">
      <c r="A113" s="11">
        <v>73</v>
      </c>
      <c r="B113" s="39" t="s">
        <v>485</v>
      </c>
      <c r="C113" s="18" t="s">
        <v>428</v>
      </c>
      <c r="D113" s="158">
        <v>33329810088</v>
      </c>
      <c r="E113" s="72" t="s">
        <v>486</v>
      </c>
      <c r="F113" s="103" t="s">
        <v>27</v>
      </c>
      <c r="G113" s="13" t="s">
        <v>28</v>
      </c>
      <c r="H113" s="18"/>
      <c r="I113" s="18"/>
      <c r="J113" s="18"/>
      <c r="K113" s="18" t="s">
        <v>30</v>
      </c>
      <c r="L113" s="18" t="s">
        <v>398</v>
      </c>
      <c r="M113" s="27">
        <v>34479</v>
      </c>
      <c r="N113" s="19">
        <f t="shared" si="28"/>
        <v>56400</v>
      </c>
      <c r="O113" s="27"/>
      <c r="P113" s="27"/>
      <c r="Q113" s="27"/>
      <c r="R113" s="147" t="s">
        <v>487</v>
      </c>
      <c r="S113" s="7"/>
      <c r="T113" s="7"/>
      <c r="U113" s="7"/>
      <c r="V113" s="8"/>
      <c r="W113" s="8"/>
      <c r="X113" s="29">
        <f ca="1">INT((TODAY()-M113)/365)</f>
        <v>31</v>
      </c>
      <c r="Y113" s="23"/>
      <c r="Z113" s="23"/>
    </row>
    <row r="114" spans="1:39" ht="15.75" customHeight="1">
      <c r="A114" s="4"/>
      <c r="B114" s="144" t="s">
        <v>488</v>
      </c>
      <c r="C114" s="22" t="s">
        <v>428</v>
      </c>
      <c r="D114" s="148" t="s">
        <v>489</v>
      </c>
      <c r="E114" s="144" t="s">
        <v>490</v>
      </c>
      <c r="F114" s="22" t="s">
        <v>27</v>
      </c>
      <c r="G114" s="145" t="s">
        <v>28</v>
      </c>
      <c r="H114" s="4"/>
      <c r="I114" s="4"/>
      <c r="J114" s="4"/>
      <c r="K114" s="18" t="s">
        <v>30</v>
      </c>
      <c r="L114" s="4" t="s">
        <v>81</v>
      </c>
      <c r="M114" s="156">
        <v>34166</v>
      </c>
      <c r="N114" s="19">
        <f t="shared" si="28"/>
        <v>56096</v>
      </c>
      <c r="O114" s="6"/>
      <c r="P114" s="6"/>
      <c r="Q114" s="6"/>
      <c r="R114" s="21" t="s">
        <v>491</v>
      </c>
      <c r="S114" s="7"/>
      <c r="T114" s="7"/>
      <c r="U114" s="7"/>
      <c r="V114" s="8"/>
      <c r="W114" s="8"/>
      <c r="X114" s="157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 spans="1:39" ht="15.75" customHeight="1">
      <c r="A115" s="4"/>
      <c r="B115" s="144" t="s">
        <v>492</v>
      </c>
      <c r="C115" s="22" t="s">
        <v>428</v>
      </c>
      <c r="D115" s="148" t="s">
        <v>493</v>
      </c>
      <c r="E115" s="144" t="s">
        <v>494</v>
      </c>
      <c r="F115" s="58" t="s">
        <v>27</v>
      </c>
      <c r="G115" s="145" t="s">
        <v>36</v>
      </c>
      <c r="H115" s="4"/>
      <c r="I115" s="4"/>
      <c r="J115" s="4"/>
      <c r="K115" s="18" t="s">
        <v>30</v>
      </c>
      <c r="L115" s="4" t="s">
        <v>81</v>
      </c>
      <c r="M115" s="156">
        <v>35135</v>
      </c>
      <c r="N115" s="19">
        <f t="shared" si="28"/>
        <v>57070</v>
      </c>
      <c r="O115" s="6"/>
      <c r="P115" s="6"/>
      <c r="Q115" s="6"/>
      <c r="R115" s="21" t="s">
        <v>495</v>
      </c>
      <c r="S115" s="7"/>
      <c r="T115" s="7"/>
      <c r="U115" s="7"/>
      <c r="V115" s="8"/>
      <c r="W115" s="8"/>
      <c r="X115" s="157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 spans="1:39" ht="15.75" customHeight="1">
      <c r="A116" s="11"/>
      <c r="B116" s="39" t="s">
        <v>496</v>
      </c>
      <c r="C116" s="18" t="s">
        <v>428</v>
      </c>
      <c r="D116" s="25">
        <v>18429806221</v>
      </c>
      <c r="E116" s="159" t="s">
        <v>497</v>
      </c>
      <c r="F116" s="58" t="s">
        <v>27</v>
      </c>
      <c r="G116" s="13"/>
      <c r="H116" s="18"/>
      <c r="I116" s="18"/>
      <c r="J116" s="30"/>
      <c r="K116" s="18" t="s">
        <v>30</v>
      </c>
      <c r="L116" s="18" t="s">
        <v>104</v>
      </c>
      <c r="M116" s="27">
        <v>34359</v>
      </c>
      <c r="N116" s="19">
        <f t="shared" si="28"/>
        <v>56280</v>
      </c>
      <c r="O116" s="27"/>
      <c r="P116" s="27"/>
      <c r="Q116" s="28"/>
      <c r="R116" s="23"/>
      <c r="S116" s="7"/>
      <c r="T116" s="7"/>
      <c r="U116" s="7"/>
      <c r="V116" s="8"/>
      <c r="W116" s="8"/>
      <c r="X116" s="29">
        <f t="shared" ref="X116:X120" ca="1" si="30">INT((TODAY()-M116)/365)</f>
        <v>32</v>
      </c>
      <c r="Y116" s="8"/>
      <c r="Z116" s="8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</row>
    <row r="117" spans="1:39" ht="15.75" customHeight="1">
      <c r="A117" s="11">
        <v>77</v>
      </c>
      <c r="B117" s="39"/>
      <c r="C117" s="18"/>
      <c r="D117" s="25"/>
      <c r="E117" s="13"/>
      <c r="F117" s="26"/>
      <c r="G117" s="13"/>
      <c r="H117" s="18"/>
      <c r="I117" s="18"/>
      <c r="J117" s="18"/>
      <c r="K117" s="18"/>
      <c r="L117" s="18"/>
      <c r="M117" s="27"/>
      <c r="N117" s="27"/>
      <c r="O117" s="27"/>
      <c r="P117" s="19"/>
      <c r="Q117" s="27"/>
      <c r="R117" s="23"/>
      <c r="S117" s="7"/>
      <c r="T117" s="7"/>
      <c r="U117" s="7"/>
      <c r="V117" s="8"/>
      <c r="W117" s="8"/>
      <c r="X117" s="29">
        <f t="shared" ca="1" si="30"/>
        <v>126</v>
      </c>
      <c r="Y117" s="8"/>
      <c r="Z117" s="8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spans="1:39" ht="15.75" customHeight="1">
      <c r="A118" s="11">
        <v>78</v>
      </c>
      <c r="B118" s="43"/>
      <c r="C118" s="13"/>
      <c r="D118" s="14"/>
      <c r="E118" s="58"/>
      <c r="F118" s="26"/>
      <c r="G118" s="16"/>
      <c r="H118" s="18"/>
      <c r="I118" s="13"/>
      <c r="J118" s="13"/>
      <c r="K118" s="18"/>
      <c r="L118" s="13"/>
      <c r="M118" s="19"/>
      <c r="N118" s="19"/>
      <c r="O118" s="19"/>
      <c r="P118" s="27"/>
      <c r="Q118" s="27"/>
      <c r="R118" s="23"/>
      <c r="S118" s="20"/>
      <c r="T118" s="20"/>
      <c r="U118" s="20"/>
      <c r="V118" s="20"/>
      <c r="W118" s="22"/>
      <c r="X118" s="29">
        <f t="shared" ca="1" si="30"/>
        <v>126</v>
      </c>
      <c r="Y118" s="8"/>
      <c r="Z118" s="8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 spans="1:39" ht="15.75" customHeight="1">
      <c r="A119" s="11">
        <v>79</v>
      </c>
      <c r="B119" s="39"/>
      <c r="C119" s="18"/>
      <c r="D119" s="25"/>
      <c r="E119" s="18"/>
      <c r="F119" s="103"/>
      <c r="G119" s="18"/>
      <c r="H119" s="18"/>
      <c r="I119" s="18"/>
      <c r="J119" s="30"/>
      <c r="K119" s="18"/>
      <c r="L119" s="18"/>
      <c r="M119" s="27"/>
      <c r="N119" s="27"/>
      <c r="O119" s="27"/>
      <c r="P119" s="160"/>
      <c r="Q119" s="28"/>
      <c r="R119" s="23"/>
      <c r="S119" s="7"/>
      <c r="T119" s="7"/>
      <c r="U119" s="7"/>
      <c r="V119" s="8"/>
      <c r="W119" s="8"/>
      <c r="X119" s="29">
        <f t="shared" ca="1" si="30"/>
        <v>126</v>
      </c>
      <c r="Y119" s="8"/>
      <c r="Z119" s="8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 spans="1:39" ht="15.75" customHeight="1">
      <c r="A120" s="11">
        <v>80</v>
      </c>
      <c r="B120" s="39"/>
      <c r="C120" s="18"/>
      <c r="D120" s="47"/>
      <c r="E120" s="13"/>
      <c r="F120" s="103"/>
      <c r="G120" s="13"/>
      <c r="H120" s="18"/>
      <c r="I120" s="18"/>
      <c r="J120" s="18"/>
      <c r="K120" s="18"/>
      <c r="L120" s="18"/>
      <c r="M120" s="27"/>
      <c r="N120" s="27"/>
      <c r="O120" s="27"/>
      <c r="P120" s="19"/>
      <c r="Q120" s="27"/>
      <c r="R120" s="23"/>
      <c r="S120" s="7"/>
      <c r="T120" s="7"/>
      <c r="U120" s="7"/>
      <c r="V120" s="8"/>
      <c r="W120" s="8"/>
      <c r="X120" s="29">
        <f t="shared" ca="1" si="30"/>
        <v>126</v>
      </c>
      <c r="Y120" s="22"/>
      <c r="Z120" s="23"/>
      <c r="AB120" s="9">
        <f t="shared" ref="AB120:AB121" ca="1" si="31">INT((TODAY()-M120)/365)</f>
        <v>126</v>
      </c>
    </row>
    <row r="121" spans="1:39" ht="15.75" customHeight="1">
      <c r="A121" s="11">
        <v>81</v>
      </c>
      <c r="B121" s="43"/>
      <c r="C121" s="13"/>
      <c r="D121" s="35"/>
      <c r="E121" s="13"/>
      <c r="F121" s="15"/>
      <c r="G121" s="16"/>
      <c r="H121" s="13"/>
      <c r="I121" s="13"/>
      <c r="J121" s="13"/>
      <c r="K121" s="18"/>
      <c r="L121" s="13"/>
      <c r="M121" s="19"/>
      <c r="N121" s="19"/>
      <c r="O121" s="19"/>
      <c r="P121" s="27"/>
      <c r="Q121" s="27"/>
      <c r="R121" s="20"/>
      <c r="S121" s="20"/>
      <c r="T121" s="20"/>
      <c r="U121" s="20"/>
      <c r="V121" s="20"/>
      <c r="W121" s="22"/>
      <c r="X121" s="22"/>
      <c r="Y121" s="22"/>
      <c r="Z121" s="23"/>
      <c r="AB121" s="9">
        <f t="shared" ca="1" si="31"/>
        <v>126</v>
      </c>
    </row>
    <row r="122" spans="1:39" ht="15.75" customHeight="1">
      <c r="A122" s="11">
        <v>82</v>
      </c>
      <c r="B122" s="43"/>
      <c r="C122" s="13"/>
      <c r="D122" s="14"/>
      <c r="E122" s="13"/>
      <c r="F122" s="15"/>
      <c r="G122" s="16"/>
      <c r="H122" s="13"/>
      <c r="I122" s="13"/>
      <c r="J122" s="13"/>
      <c r="K122" s="18"/>
      <c r="L122" s="13"/>
      <c r="M122" s="19"/>
      <c r="N122" s="19"/>
      <c r="O122" s="19"/>
      <c r="P122" s="28"/>
      <c r="Q122" s="28"/>
      <c r="R122" s="20"/>
      <c r="S122" s="20"/>
      <c r="T122" s="20"/>
      <c r="U122" s="20"/>
      <c r="V122" s="20"/>
      <c r="W122" s="22"/>
      <c r="X122" s="22"/>
      <c r="Y122" s="8"/>
      <c r="Z122" s="8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</row>
    <row r="123" spans="1:39" ht="15.75" customHeight="1">
      <c r="A123" s="11">
        <v>83</v>
      </c>
      <c r="B123" s="39"/>
      <c r="C123" s="18"/>
      <c r="D123" s="47"/>
      <c r="E123" s="13"/>
      <c r="F123" s="103"/>
      <c r="G123" s="13"/>
      <c r="H123" s="18"/>
      <c r="I123" s="18"/>
      <c r="J123" s="30"/>
      <c r="K123" s="18"/>
      <c r="L123" s="18"/>
      <c r="M123" s="27"/>
      <c r="N123" s="27"/>
      <c r="O123" s="27"/>
      <c r="P123" s="19"/>
      <c r="Q123" s="27"/>
      <c r="R123" s="23"/>
      <c r="S123" s="7"/>
      <c r="T123" s="7"/>
      <c r="U123" s="7"/>
      <c r="V123" s="8"/>
      <c r="W123" s="8"/>
      <c r="X123" s="29">
        <f t="shared" ref="X123:X130" ca="1" si="32">INT((TODAY()-M123)/365)</f>
        <v>126</v>
      </c>
      <c r="Y123" s="8"/>
      <c r="Z123" s="8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</row>
    <row r="124" spans="1:39" ht="15.75" customHeight="1">
      <c r="A124" s="11">
        <v>84</v>
      </c>
      <c r="B124" s="39"/>
      <c r="C124" s="18"/>
      <c r="D124" s="25"/>
      <c r="E124" s="18"/>
      <c r="F124" s="103"/>
      <c r="G124" s="18"/>
      <c r="H124" s="18"/>
      <c r="I124" s="18"/>
      <c r="J124" s="18"/>
      <c r="K124" s="18"/>
      <c r="L124" s="18"/>
      <c r="M124" s="27"/>
      <c r="N124" s="27"/>
      <c r="O124" s="27"/>
      <c r="P124" s="27"/>
      <c r="Q124" s="28"/>
      <c r="R124" s="23"/>
      <c r="S124" s="7"/>
      <c r="T124" s="7"/>
      <c r="U124" s="7"/>
      <c r="V124" s="8"/>
      <c r="W124" s="8"/>
      <c r="X124" s="29">
        <f t="shared" ca="1" si="32"/>
        <v>126</v>
      </c>
      <c r="Y124" s="23"/>
      <c r="Z124" s="23"/>
    </row>
    <row r="125" spans="1:39" ht="15.75" customHeight="1">
      <c r="A125" s="11">
        <v>85</v>
      </c>
      <c r="B125" s="39"/>
      <c r="C125" s="18"/>
      <c r="D125" s="25"/>
      <c r="E125" s="13"/>
      <c r="F125" s="103"/>
      <c r="G125" s="13"/>
      <c r="H125" s="18"/>
      <c r="I125" s="18"/>
      <c r="J125" s="18"/>
      <c r="K125" s="18"/>
      <c r="L125" s="18"/>
      <c r="M125" s="27"/>
      <c r="N125" s="27"/>
      <c r="O125" s="27"/>
      <c r="P125" s="27"/>
      <c r="Q125" s="27"/>
      <c r="R125" s="23"/>
      <c r="S125" s="7"/>
      <c r="T125" s="7"/>
      <c r="U125" s="7"/>
      <c r="V125" s="8"/>
      <c r="W125" s="8"/>
      <c r="X125" s="29">
        <f t="shared" ca="1" si="32"/>
        <v>126</v>
      </c>
      <c r="Y125" s="23"/>
      <c r="Z125" s="23"/>
    </row>
    <row r="126" spans="1:39" ht="15.75" customHeight="1">
      <c r="A126" s="11">
        <v>86</v>
      </c>
      <c r="B126" s="39"/>
      <c r="C126" s="18"/>
      <c r="D126" s="25"/>
      <c r="E126" s="18"/>
      <c r="F126" s="103"/>
      <c r="G126" s="18"/>
      <c r="H126" s="18"/>
      <c r="I126" s="18"/>
      <c r="J126" s="18"/>
      <c r="K126" s="18"/>
      <c r="L126" s="18"/>
      <c r="M126" s="27"/>
      <c r="N126" s="27"/>
      <c r="O126" s="27"/>
      <c r="P126" s="27"/>
      <c r="Q126" s="28"/>
      <c r="R126" s="23"/>
      <c r="S126" s="7"/>
      <c r="T126" s="7"/>
      <c r="U126" s="7"/>
      <c r="V126" s="8"/>
      <c r="W126" s="8"/>
      <c r="X126" s="29">
        <f t="shared" ca="1" si="32"/>
        <v>126</v>
      </c>
      <c r="Y126" s="23"/>
      <c r="Z126" s="23"/>
    </row>
    <row r="127" spans="1:39" ht="15.75" customHeight="1">
      <c r="A127" s="11">
        <v>87</v>
      </c>
      <c r="B127" s="39"/>
      <c r="C127" s="18"/>
      <c r="D127" s="25"/>
      <c r="E127" s="13"/>
      <c r="F127" s="103"/>
      <c r="G127" s="13"/>
      <c r="H127" s="18"/>
      <c r="I127" s="18"/>
      <c r="J127" s="18"/>
      <c r="K127" s="18"/>
      <c r="L127" s="18"/>
      <c r="M127" s="27"/>
      <c r="N127" s="27"/>
      <c r="O127" s="27"/>
      <c r="P127" s="27"/>
      <c r="Q127" s="27"/>
      <c r="R127" s="23"/>
      <c r="S127" s="7"/>
      <c r="T127" s="7"/>
      <c r="U127" s="7"/>
      <c r="V127" s="8"/>
      <c r="W127" s="8"/>
      <c r="X127" s="29">
        <f t="shared" ca="1" si="32"/>
        <v>126</v>
      </c>
      <c r="Y127" s="8"/>
      <c r="Z127" s="8"/>
      <c r="AA127" s="8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</row>
    <row r="128" spans="1:39" ht="15.75" customHeight="1">
      <c r="A128" s="11">
        <v>88</v>
      </c>
      <c r="B128" s="39"/>
      <c r="C128" s="18"/>
      <c r="D128" s="25"/>
      <c r="E128" s="13"/>
      <c r="F128" s="103"/>
      <c r="G128" s="13"/>
      <c r="H128" s="18"/>
      <c r="I128" s="18"/>
      <c r="J128" s="18"/>
      <c r="K128" s="18"/>
      <c r="L128" s="18"/>
      <c r="M128" s="27"/>
      <c r="N128" s="27"/>
      <c r="O128" s="27"/>
      <c r="P128" s="27"/>
      <c r="Q128" s="27"/>
      <c r="R128" s="23"/>
      <c r="S128" s="7"/>
      <c r="T128" s="7"/>
      <c r="U128" s="7"/>
      <c r="V128" s="8"/>
      <c r="W128" s="8"/>
      <c r="X128" s="29">
        <f t="shared" ca="1" si="32"/>
        <v>126</v>
      </c>
      <c r="Y128" s="8"/>
      <c r="Z128" s="8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spans="1:39" ht="15.75">
      <c r="A129" s="11">
        <v>89</v>
      </c>
      <c r="B129" s="39"/>
      <c r="C129" s="18"/>
      <c r="D129" s="25"/>
      <c r="E129" s="18"/>
      <c r="F129" s="103"/>
      <c r="G129" s="18"/>
      <c r="H129" s="18"/>
      <c r="I129" s="18"/>
      <c r="J129" s="18"/>
      <c r="K129" s="18"/>
      <c r="L129" s="18"/>
      <c r="M129" s="27"/>
      <c r="N129" s="27"/>
      <c r="O129" s="27"/>
      <c r="P129" s="27"/>
      <c r="Q129" s="27"/>
      <c r="R129" s="23"/>
      <c r="S129" s="23"/>
      <c r="T129" s="26"/>
      <c r="U129" s="26"/>
      <c r="V129" s="8"/>
      <c r="W129" s="8"/>
      <c r="X129" s="29">
        <f t="shared" ca="1" si="32"/>
        <v>126</v>
      </c>
      <c r="Y129" s="8"/>
      <c r="Z129" s="8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spans="1:39" ht="15.75">
      <c r="A130" s="11">
        <v>90</v>
      </c>
      <c r="B130" s="39"/>
      <c r="C130" s="18"/>
      <c r="D130" s="52"/>
      <c r="E130" s="13"/>
      <c r="F130" s="103"/>
      <c r="G130" s="13"/>
      <c r="H130" s="18"/>
      <c r="I130" s="18"/>
      <c r="J130" s="18"/>
      <c r="K130" s="18"/>
      <c r="L130" s="18"/>
      <c r="M130" s="27"/>
      <c r="N130" s="27"/>
      <c r="O130" s="27"/>
      <c r="P130" s="27"/>
      <c r="Q130" s="27"/>
      <c r="R130" s="23"/>
      <c r="S130" s="7"/>
      <c r="T130" s="7"/>
      <c r="U130" s="7"/>
      <c r="V130" s="8"/>
      <c r="W130" s="8"/>
      <c r="X130" s="29">
        <f t="shared" ca="1" si="32"/>
        <v>126</v>
      </c>
      <c r="Y130" s="22"/>
      <c r="Z130" s="23"/>
      <c r="AB130" s="9">
        <f ca="1">INT((TODAY()-M130)/365)</f>
        <v>126</v>
      </c>
    </row>
    <row r="131" spans="1:39" ht="15.75" customHeight="1">
      <c r="A131" s="11">
        <v>91</v>
      </c>
      <c r="B131" s="43"/>
      <c r="C131" s="13"/>
      <c r="D131" s="35"/>
      <c r="E131" s="4"/>
      <c r="F131" s="15"/>
      <c r="G131" s="16"/>
      <c r="H131" s="13"/>
      <c r="I131" s="13"/>
      <c r="J131" s="13"/>
      <c r="K131" s="18"/>
      <c r="L131" s="13"/>
      <c r="M131" s="19"/>
      <c r="N131" s="19"/>
      <c r="O131" s="19"/>
      <c r="P131" s="28"/>
      <c r="Q131" s="28"/>
      <c r="R131" s="20"/>
      <c r="S131" s="20"/>
      <c r="T131" s="20"/>
      <c r="U131" s="23"/>
      <c r="V131" s="20"/>
      <c r="W131" s="22"/>
      <c r="X131" s="22"/>
      <c r="Y131" s="23"/>
      <c r="Z131" s="23"/>
      <c r="AF131" s="9"/>
      <c r="AG131" s="9"/>
      <c r="AH131" s="9"/>
      <c r="AI131" s="9"/>
      <c r="AJ131" s="9"/>
      <c r="AK131" s="9"/>
      <c r="AL131" s="9"/>
      <c r="AM131" s="9"/>
    </row>
    <row r="132" spans="1:39" ht="15.75">
      <c r="A132" s="11">
        <v>92</v>
      </c>
      <c r="B132" s="39"/>
      <c r="C132" s="18"/>
      <c r="D132" s="25"/>
      <c r="E132" s="13"/>
      <c r="F132" s="103"/>
      <c r="G132" s="13"/>
      <c r="H132" s="18"/>
      <c r="I132" s="18"/>
      <c r="J132" s="18"/>
      <c r="K132" s="18"/>
      <c r="L132" s="18"/>
      <c r="M132" s="27"/>
      <c r="N132" s="27"/>
      <c r="O132" s="27"/>
      <c r="P132" s="19"/>
      <c r="Q132" s="27"/>
      <c r="R132" s="23"/>
      <c r="S132" s="7"/>
      <c r="T132" s="7"/>
      <c r="U132" s="7"/>
      <c r="V132" s="8"/>
      <c r="W132" s="8"/>
      <c r="X132" s="29">
        <f t="shared" ref="X132:X133" ca="1" si="33">INT((TODAY()-M132)/365)</f>
        <v>126</v>
      </c>
      <c r="Y132" s="23"/>
      <c r="Z132" s="23"/>
      <c r="AF132" s="9"/>
      <c r="AG132" s="9"/>
      <c r="AH132" s="9"/>
      <c r="AI132" s="9"/>
      <c r="AJ132" s="9"/>
      <c r="AK132" s="9"/>
      <c r="AL132" s="9"/>
      <c r="AM132" s="9"/>
    </row>
    <row r="133" spans="1:39" ht="15.75" customHeight="1">
      <c r="A133" s="11">
        <v>93</v>
      </c>
      <c r="B133" s="39"/>
      <c r="C133" s="18"/>
      <c r="D133" s="25"/>
      <c r="E133" s="18"/>
      <c r="F133" s="103"/>
      <c r="G133" s="18"/>
      <c r="H133" s="18"/>
      <c r="I133" s="18"/>
      <c r="J133" s="18"/>
      <c r="K133" s="18"/>
      <c r="L133" s="18"/>
      <c r="M133" s="27"/>
      <c r="N133" s="27"/>
      <c r="O133" s="27"/>
      <c r="P133" s="27"/>
      <c r="Q133" s="27"/>
      <c r="R133" s="23"/>
      <c r="S133" s="7"/>
      <c r="T133" s="7"/>
      <c r="U133" s="7"/>
      <c r="V133" s="8"/>
      <c r="W133" s="8"/>
      <c r="X133" s="29">
        <f t="shared" ca="1" si="33"/>
        <v>126</v>
      </c>
      <c r="Y133" s="23"/>
      <c r="Z133" s="23"/>
      <c r="AF133" s="9"/>
      <c r="AG133" s="9"/>
      <c r="AH133" s="9"/>
      <c r="AI133" s="9"/>
      <c r="AJ133" s="9"/>
      <c r="AK133" s="9"/>
      <c r="AL133" s="9"/>
      <c r="AM133" s="9"/>
    </row>
    <row r="134" spans="1:39" ht="15.75" customHeight="1">
      <c r="A134" s="11">
        <v>94</v>
      </c>
      <c r="B134" s="43"/>
      <c r="C134" s="13"/>
      <c r="D134" s="35"/>
      <c r="E134" s="4"/>
      <c r="F134" s="15"/>
      <c r="G134" s="16"/>
      <c r="H134" s="13"/>
      <c r="I134" s="13"/>
      <c r="J134" s="13"/>
      <c r="K134" s="18"/>
      <c r="L134" s="13"/>
      <c r="M134" s="19"/>
      <c r="N134" s="19"/>
      <c r="O134" s="19"/>
      <c r="P134" s="28"/>
      <c r="Q134" s="27"/>
      <c r="R134" s="20"/>
      <c r="S134" s="20"/>
      <c r="T134" s="20"/>
      <c r="U134" s="20"/>
      <c r="V134" s="20"/>
      <c r="W134" s="22"/>
      <c r="X134" s="22"/>
      <c r="Y134" s="22"/>
      <c r="Z134" s="23"/>
      <c r="AA134" s="23"/>
      <c r="AB134" s="9">
        <f t="shared" ref="AB134:AB136" ca="1" si="34">INT((TODAY()-M134)/365)</f>
        <v>126</v>
      </c>
    </row>
    <row r="135" spans="1:39" ht="15.75" customHeight="1">
      <c r="A135" s="11">
        <v>95</v>
      </c>
      <c r="B135" s="43"/>
      <c r="C135" s="13"/>
      <c r="D135" s="35"/>
      <c r="E135" s="13"/>
      <c r="F135" s="15"/>
      <c r="G135" s="16"/>
      <c r="H135" s="13"/>
      <c r="I135" s="13"/>
      <c r="J135" s="13"/>
      <c r="K135" s="18"/>
      <c r="L135" s="18"/>
      <c r="M135" s="19"/>
      <c r="N135" s="19"/>
      <c r="O135" s="19"/>
      <c r="P135" s="28"/>
      <c r="Q135" s="28"/>
      <c r="R135" s="20"/>
      <c r="S135" s="20"/>
      <c r="T135" s="20"/>
      <c r="U135" s="20"/>
      <c r="V135" s="20"/>
      <c r="W135" s="22"/>
      <c r="X135" s="22"/>
      <c r="Y135" s="22"/>
      <c r="Z135" s="23"/>
      <c r="AB135" s="9">
        <f t="shared" ca="1" si="34"/>
        <v>126</v>
      </c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 spans="1:39" ht="15.75" customHeight="1">
      <c r="A136" s="11">
        <v>96</v>
      </c>
      <c r="B136" s="43"/>
      <c r="C136" s="13"/>
      <c r="D136" s="14"/>
      <c r="E136" s="4"/>
      <c r="F136" s="15"/>
      <c r="G136" s="16"/>
      <c r="H136" s="13"/>
      <c r="I136" s="13"/>
      <c r="J136" s="13"/>
      <c r="K136" s="18"/>
      <c r="L136" s="13"/>
      <c r="M136" s="19"/>
      <c r="N136" s="19"/>
      <c r="O136" s="19"/>
      <c r="P136" s="27"/>
      <c r="Q136" s="28"/>
      <c r="R136" s="20"/>
      <c r="S136" s="20"/>
      <c r="T136" s="20"/>
      <c r="U136" s="20"/>
      <c r="V136" s="20"/>
      <c r="W136" s="22"/>
      <c r="X136" s="22"/>
      <c r="Y136" s="22"/>
      <c r="Z136" s="23"/>
      <c r="AB136" s="9">
        <f t="shared" ca="1" si="34"/>
        <v>126</v>
      </c>
    </row>
    <row r="137" spans="1:39" ht="15.75" customHeight="1">
      <c r="A137" s="97">
        <v>1</v>
      </c>
      <c r="B137" s="39"/>
      <c r="C137" s="18"/>
      <c r="D137" s="47"/>
      <c r="E137" s="13"/>
      <c r="F137" s="26"/>
      <c r="G137" s="13"/>
      <c r="H137" s="18"/>
      <c r="I137" s="18"/>
      <c r="J137" s="30"/>
      <c r="K137" s="18"/>
      <c r="L137" s="18"/>
      <c r="M137" s="27"/>
      <c r="N137" s="27"/>
      <c r="O137" s="27"/>
      <c r="P137" s="27"/>
      <c r="Q137" s="28"/>
      <c r="R137" s="23"/>
      <c r="S137" s="33"/>
      <c r="T137" s="7"/>
      <c r="U137" s="7"/>
      <c r="V137" s="8"/>
      <c r="W137" s="8"/>
      <c r="X137" s="29">
        <f t="shared" ref="X137:X138" ca="1" si="35">INT((TODAY()-M137)/365)</f>
        <v>126</v>
      </c>
      <c r="Y137" s="8"/>
      <c r="Z137" s="8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</row>
    <row r="138" spans="1:39" ht="15.75" customHeight="1">
      <c r="A138" s="97">
        <v>2</v>
      </c>
      <c r="B138" s="39"/>
      <c r="C138" s="18"/>
      <c r="D138" s="47"/>
      <c r="E138" s="18"/>
      <c r="F138" s="26"/>
      <c r="G138" s="18"/>
      <c r="H138" s="18"/>
      <c r="I138" s="18"/>
      <c r="J138" s="30"/>
      <c r="K138" s="18"/>
      <c r="L138" s="13"/>
      <c r="M138" s="27"/>
      <c r="N138" s="27"/>
      <c r="O138" s="27"/>
      <c r="P138" s="27"/>
      <c r="Q138" s="28"/>
      <c r="R138" s="33"/>
      <c r="S138" s="7"/>
      <c r="T138" s="7"/>
      <c r="U138" s="7"/>
      <c r="V138" s="8"/>
      <c r="W138" s="8"/>
      <c r="X138" s="29">
        <f t="shared" ca="1" si="35"/>
        <v>126</v>
      </c>
      <c r="Y138" s="8"/>
      <c r="Z138" s="8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</row>
    <row r="139" spans="1:39" ht="15.75" customHeight="1">
      <c r="A139" s="97">
        <v>4</v>
      </c>
      <c r="B139" s="39"/>
      <c r="C139" s="18"/>
      <c r="D139" s="25"/>
      <c r="E139" s="48"/>
      <c r="F139" s="37"/>
      <c r="G139" s="30"/>
      <c r="H139" s="30"/>
      <c r="I139" s="18"/>
      <c r="J139" s="30"/>
      <c r="K139" s="18"/>
      <c r="L139" s="18"/>
      <c r="M139" s="27"/>
      <c r="N139" s="27"/>
      <c r="O139" s="27"/>
      <c r="P139" s="27"/>
      <c r="Q139" s="28"/>
      <c r="R139" s="7"/>
      <c r="S139" s="7"/>
      <c r="T139" s="7"/>
      <c r="U139" s="7"/>
      <c r="V139" s="20"/>
      <c r="W139" s="8"/>
      <c r="X139" s="23"/>
      <c r="Y139" s="4"/>
      <c r="Z139" s="23"/>
      <c r="AA139" s="9"/>
      <c r="AB139" s="44">
        <f t="shared" ref="AB139:AB144" ca="1" si="36">INT((TODAY()-M139)/365)</f>
        <v>126</v>
      </c>
    </row>
    <row r="140" spans="1:39" ht="15.75" customHeight="1">
      <c r="A140" s="97">
        <v>5</v>
      </c>
      <c r="B140" s="24"/>
      <c r="C140" s="30"/>
      <c r="D140" s="108"/>
      <c r="E140" s="48"/>
      <c r="F140" s="37"/>
      <c r="G140" s="30"/>
      <c r="H140" s="30"/>
      <c r="I140" s="30"/>
      <c r="J140" s="30"/>
      <c r="K140" s="18"/>
      <c r="L140" s="18"/>
      <c r="M140" s="64"/>
      <c r="N140" s="27"/>
      <c r="O140" s="107"/>
      <c r="P140" s="27"/>
      <c r="Q140" s="28"/>
      <c r="R140" s="33"/>
      <c r="S140" s="33"/>
      <c r="T140" s="33"/>
      <c r="U140" s="33"/>
      <c r="V140" s="20"/>
      <c r="W140" s="40"/>
      <c r="X140" s="23"/>
      <c r="Y140" s="40"/>
      <c r="Z140" s="23"/>
      <c r="AA140" s="45"/>
      <c r="AB140" s="44">
        <f t="shared" ca="1" si="36"/>
        <v>126</v>
      </c>
    </row>
    <row r="141" spans="1:39" ht="15.75" customHeight="1">
      <c r="A141" s="97">
        <v>6</v>
      </c>
      <c r="B141" s="39"/>
      <c r="C141" s="18"/>
      <c r="D141" s="25"/>
      <c r="E141" s="48"/>
      <c r="F141" s="37"/>
      <c r="G141" s="30"/>
      <c r="H141" s="30"/>
      <c r="I141" s="18"/>
      <c r="J141" s="18"/>
      <c r="K141" s="18"/>
      <c r="L141" s="18"/>
      <c r="M141" s="27"/>
      <c r="N141" s="27"/>
      <c r="O141" s="27"/>
      <c r="P141" s="27"/>
      <c r="Q141" s="28"/>
      <c r="R141" s="7"/>
      <c r="S141" s="7"/>
      <c r="T141" s="7"/>
      <c r="U141" s="7"/>
      <c r="V141" s="20"/>
      <c r="W141" s="8"/>
      <c r="X141" s="23"/>
      <c r="Y141" s="4"/>
      <c r="Z141" s="23"/>
      <c r="AA141" s="9"/>
      <c r="AB141" s="44">
        <f t="shared" ca="1" si="36"/>
        <v>126</v>
      </c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</row>
    <row r="142" spans="1:39" ht="14.25" customHeight="1">
      <c r="A142" s="97">
        <v>7</v>
      </c>
      <c r="B142" s="39"/>
      <c r="C142" s="18"/>
      <c r="D142" s="25"/>
      <c r="E142" s="48"/>
      <c r="F142" s="82"/>
      <c r="G142" s="18"/>
      <c r="H142" s="13"/>
      <c r="I142" s="18"/>
      <c r="J142" s="30"/>
      <c r="K142" s="18"/>
      <c r="L142" s="18"/>
      <c r="M142" s="27"/>
      <c r="N142" s="27"/>
      <c r="O142" s="27"/>
      <c r="P142" s="27"/>
      <c r="Q142" s="28"/>
      <c r="R142" s="7"/>
      <c r="S142" s="7"/>
      <c r="T142" s="7"/>
      <c r="U142" s="7"/>
      <c r="V142" s="20"/>
      <c r="W142" s="8"/>
      <c r="X142" s="8"/>
      <c r="Y142" s="22"/>
      <c r="Z142" s="23"/>
      <c r="AA142" s="9"/>
      <c r="AB142" s="9">
        <f t="shared" ca="1" si="36"/>
        <v>126</v>
      </c>
    </row>
    <row r="143" spans="1:39" ht="15.75" customHeight="1">
      <c r="A143" s="97">
        <v>8</v>
      </c>
      <c r="B143" s="43"/>
      <c r="C143" s="13"/>
      <c r="D143" s="35"/>
      <c r="E143" s="22"/>
      <c r="F143" s="82"/>
      <c r="G143" s="16"/>
      <c r="H143" s="13"/>
      <c r="I143" s="13"/>
      <c r="J143" s="13"/>
      <c r="K143" s="18"/>
      <c r="L143" s="13"/>
      <c r="M143" s="19"/>
      <c r="N143" s="19"/>
      <c r="O143" s="19"/>
      <c r="P143" s="27"/>
      <c r="Q143" s="27"/>
      <c r="R143" s="20"/>
      <c r="S143" s="20"/>
      <c r="T143" s="20"/>
      <c r="U143" s="20"/>
      <c r="V143" s="20"/>
      <c r="W143" s="22"/>
      <c r="X143" s="29">
        <f ca="1">INT((TODAY()-M143)/365)</f>
        <v>126</v>
      </c>
      <c r="Y143" s="22"/>
      <c r="Z143" s="23"/>
      <c r="AB143" s="9">
        <f t="shared" ca="1" si="36"/>
        <v>126</v>
      </c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spans="1:39" ht="15.75" customHeight="1">
      <c r="A144" s="97">
        <v>11</v>
      </c>
      <c r="B144" s="24"/>
      <c r="C144" s="30"/>
      <c r="D144" s="108"/>
      <c r="E144" s="22"/>
      <c r="F144" s="37"/>
      <c r="G144" s="30"/>
      <c r="H144" s="30"/>
      <c r="I144" s="30"/>
      <c r="J144" s="30"/>
      <c r="K144" s="18"/>
      <c r="L144" s="18"/>
      <c r="M144" s="64"/>
      <c r="N144" s="27"/>
      <c r="O144" s="107"/>
      <c r="P144" s="27"/>
      <c r="Q144" s="28"/>
      <c r="R144" s="33"/>
      <c r="S144" s="33"/>
      <c r="T144" s="33"/>
      <c r="U144" s="33"/>
      <c r="V144" s="67"/>
      <c r="W144" s="40"/>
      <c r="X144" s="23"/>
      <c r="Y144" s="40"/>
      <c r="Z144" s="23"/>
      <c r="AA144" s="45"/>
      <c r="AB144" s="44">
        <f t="shared" ca="1" si="36"/>
        <v>126</v>
      </c>
    </row>
    <row r="145" spans="1:39" ht="15.75" customHeight="1">
      <c r="A145" s="97">
        <v>12</v>
      </c>
      <c r="B145" s="39"/>
      <c r="C145" s="18"/>
      <c r="D145" s="47"/>
      <c r="E145" s="18"/>
      <c r="F145" s="26"/>
      <c r="G145" s="18"/>
      <c r="H145" s="18"/>
      <c r="I145" s="18"/>
      <c r="J145" s="30"/>
      <c r="K145" s="18"/>
      <c r="L145" s="18"/>
      <c r="M145" s="27"/>
      <c r="N145" s="27"/>
      <c r="O145" s="27"/>
      <c r="P145" s="27"/>
      <c r="Q145" s="28"/>
      <c r="R145" s="23"/>
      <c r="S145" s="7"/>
      <c r="T145" s="7"/>
      <c r="U145" s="7"/>
      <c r="V145" s="8"/>
      <c r="W145" s="8"/>
      <c r="X145" s="29">
        <f t="shared" ref="X145:X147" ca="1" si="37">INT((TODAY()-M145)/365)</f>
        <v>126</v>
      </c>
      <c r="Y145" s="23"/>
      <c r="Z145" s="22"/>
      <c r="AA145" s="23"/>
    </row>
    <row r="146" spans="1:39" ht="15.75" customHeight="1">
      <c r="A146" s="97">
        <v>13</v>
      </c>
      <c r="B146" s="39"/>
      <c r="C146" s="18"/>
      <c r="D146" s="47"/>
      <c r="E146" s="18"/>
      <c r="F146" s="26"/>
      <c r="G146" s="18"/>
      <c r="H146" s="18"/>
      <c r="I146" s="18"/>
      <c r="J146" s="18"/>
      <c r="K146" s="18"/>
      <c r="L146" s="18"/>
      <c r="M146" s="27"/>
      <c r="N146" s="27"/>
      <c r="O146" s="27"/>
      <c r="P146" s="27"/>
      <c r="Q146" s="28"/>
      <c r="R146" s="23"/>
      <c r="S146" s="7"/>
      <c r="T146" s="7"/>
      <c r="U146" s="7"/>
      <c r="V146" s="8"/>
      <c r="W146" s="8"/>
      <c r="X146" s="29">
        <f t="shared" ca="1" si="37"/>
        <v>126</v>
      </c>
      <c r="Y146" s="40"/>
      <c r="Z146" s="23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</row>
    <row r="147" spans="1:39" ht="15.75" customHeight="1">
      <c r="A147" s="97">
        <v>15</v>
      </c>
      <c r="B147" s="39"/>
      <c r="C147" s="18"/>
      <c r="D147" s="25"/>
      <c r="E147" s="18"/>
      <c r="F147" s="26"/>
      <c r="G147" s="18"/>
      <c r="H147" s="18"/>
      <c r="I147" s="18"/>
      <c r="J147" s="30"/>
      <c r="K147" s="18"/>
      <c r="L147" s="18"/>
      <c r="M147" s="27"/>
      <c r="N147" s="27"/>
      <c r="O147" s="27"/>
      <c r="P147" s="27"/>
      <c r="Q147" s="28"/>
      <c r="R147" s="26"/>
      <c r="S147" s="66"/>
      <c r="T147" s="7"/>
      <c r="U147" s="7"/>
      <c r="V147" s="8"/>
      <c r="W147" s="8"/>
      <c r="X147" s="29">
        <f t="shared" ca="1" si="37"/>
        <v>126</v>
      </c>
      <c r="Y147" s="40"/>
      <c r="Z147" s="23"/>
      <c r="AA147" s="45"/>
    </row>
    <row r="148" spans="1:39" ht="15.75" customHeight="1">
      <c r="A148" s="97">
        <v>17</v>
      </c>
      <c r="B148" s="39"/>
      <c r="C148" s="18"/>
      <c r="D148" s="47"/>
      <c r="E148" s="63"/>
      <c r="F148" s="82"/>
      <c r="G148" s="30"/>
      <c r="H148" s="18"/>
      <c r="I148" s="18"/>
      <c r="J148" s="18"/>
      <c r="K148" s="18"/>
      <c r="L148" s="18"/>
      <c r="M148" s="27"/>
      <c r="N148" s="27"/>
      <c r="O148" s="27"/>
      <c r="P148" s="27"/>
      <c r="Q148" s="27"/>
      <c r="R148" s="7"/>
      <c r="S148" s="7"/>
      <c r="T148" s="7"/>
      <c r="U148" s="7"/>
      <c r="V148" s="8"/>
      <c r="W148" s="8"/>
      <c r="X148" s="8"/>
      <c r="Y148" s="8"/>
      <c r="Z148" s="8"/>
      <c r="AA148" s="9"/>
      <c r="AB148" s="9">
        <f ca="1">INT((TODAY()-M148)/365)</f>
        <v>126</v>
      </c>
    </row>
    <row r="149" spans="1:39" ht="15.75" customHeight="1">
      <c r="A149" s="97">
        <v>19</v>
      </c>
      <c r="B149" s="39"/>
      <c r="C149" s="18"/>
      <c r="D149" s="25"/>
      <c r="E149" s="13"/>
      <c r="F149" s="26"/>
      <c r="G149" s="13"/>
      <c r="H149" s="18"/>
      <c r="I149" s="18"/>
      <c r="J149" s="18"/>
      <c r="K149" s="18"/>
      <c r="L149" s="18"/>
      <c r="M149" s="27"/>
      <c r="N149" s="27"/>
      <c r="O149" s="27"/>
      <c r="P149" s="27"/>
      <c r="Q149" s="28"/>
      <c r="R149" s="23"/>
      <c r="S149" s="7"/>
      <c r="T149" s="7"/>
      <c r="U149" s="7"/>
      <c r="V149" s="8"/>
      <c r="W149" s="8"/>
      <c r="X149" s="29">
        <f t="shared" ref="X149:X150" ca="1" si="38">INT((TODAY()-M149)/365)</f>
        <v>126</v>
      </c>
      <c r="Y149" s="22"/>
      <c r="Z149" s="23"/>
    </row>
    <row r="150" spans="1:39" ht="15.75" customHeight="1">
      <c r="A150" s="97">
        <v>20</v>
      </c>
      <c r="B150" s="24"/>
      <c r="C150" s="30"/>
      <c r="D150" s="36"/>
      <c r="E150" s="161"/>
      <c r="F150" s="37"/>
      <c r="G150" s="30"/>
      <c r="H150" s="30"/>
      <c r="I150" s="30"/>
      <c r="J150" s="30"/>
      <c r="K150" s="18"/>
      <c r="L150" s="18"/>
      <c r="M150" s="64"/>
      <c r="N150" s="64"/>
      <c r="O150" s="107"/>
      <c r="P150" s="27"/>
      <c r="Q150" s="27"/>
      <c r="R150" s="33"/>
      <c r="S150" s="33"/>
      <c r="T150" s="33"/>
      <c r="U150" s="33"/>
      <c r="V150" s="67"/>
      <c r="W150" s="40"/>
      <c r="X150" s="29">
        <f t="shared" ca="1" si="38"/>
        <v>126</v>
      </c>
      <c r="Y150" s="40"/>
      <c r="Z150" s="23"/>
      <c r="AA150" s="45"/>
      <c r="AB150" s="44">
        <f t="shared" ref="AB150:AB151" ca="1" si="39">INT((TODAY()-M150)/365)</f>
        <v>126</v>
      </c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</row>
    <row r="151" spans="1:39" ht="15.75" customHeight="1">
      <c r="A151" s="97">
        <v>22</v>
      </c>
      <c r="B151" s="43"/>
      <c r="C151" s="13"/>
      <c r="D151" s="35"/>
      <c r="E151" s="48"/>
      <c r="F151" s="82"/>
      <c r="G151" s="16"/>
      <c r="H151" s="13"/>
      <c r="I151" s="13"/>
      <c r="J151" s="13"/>
      <c r="K151" s="18"/>
      <c r="L151" s="18"/>
      <c r="M151" s="19"/>
      <c r="N151" s="19"/>
      <c r="O151" s="19"/>
      <c r="P151" s="27"/>
      <c r="Q151" s="28"/>
      <c r="R151" s="20"/>
      <c r="S151" s="20"/>
      <c r="T151" s="20"/>
      <c r="U151" s="20"/>
      <c r="V151" s="20"/>
      <c r="W151" s="22"/>
      <c r="X151" s="22"/>
      <c r="Y151" s="22"/>
      <c r="Z151" s="23"/>
      <c r="AB151" s="9">
        <f t="shared" ca="1" si="39"/>
        <v>126</v>
      </c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 spans="1:39" ht="15.75" customHeight="1">
      <c r="A152" s="97">
        <v>24</v>
      </c>
      <c r="B152" s="39"/>
      <c r="C152" s="18"/>
      <c r="D152" s="25"/>
      <c r="E152" s="18"/>
      <c r="F152" s="26"/>
      <c r="G152" s="18"/>
      <c r="H152" s="18"/>
      <c r="I152" s="18"/>
      <c r="J152" s="30"/>
      <c r="K152" s="18"/>
      <c r="L152" s="18"/>
      <c r="M152" s="27"/>
      <c r="N152" s="27"/>
      <c r="O152" s="27"/>
      <c r="P152" s="27"/>
      <c r="Q152" s="28"/>
      <c r="R152" s="7"/>
      <c r="S152" s="7"/>
      <c r="T152" s="7"/>
      <c r="U152" s="7"/>
      <c r="V152" s="8"/>
      <c r="W152" s="8"/>
      <c r="X152" s="29">
        <f t="shared" ref="X152:X156" ca="1" si="40">INT((TODAY()-M152)/365)</f>
        <v>126</v>
      </c>
      <c r="Y152" s="40"/>
      <c r="Z152" s="23"/>
      <c r="AA152" s="45"/>
    </row>
    <row r="153" spans="1:39" ht="15.75" customHeight="1">
      <c r="A153" s="97">
        <v>25</v>
      </c>
      <c r="B153" s="39"/>
      <c r="C153" s="18"/>
      <c r="D153" s="47"/>
      <c r="E153" s="18"/>
      <c r="F153" s="26"/>
      <c r="G153" s="18"/>
      <c r="H153" s="18"/>
      <c r="I153" s="18"/>
      <c r="J153" s="18"/>
      <c r="K153" s="18"/>
      <c r="L153" s="13"/>
      <c r="M153" s="27"/>
      <c r="N153" s="27"/>
      <c r="O153" s="27"/>
      <c r="P153" s="19"/>
      <c r="Q153" s="28"/>
      <c r="R153" s="33"/>
      <c r="S153" s="7"/>
      <c r="T153" s="7"/>
      <c r="U153" s="7"/>
      <c r="V153" s="8"/>
      <c r="W153" s="8"/>
      <c r="X153" s="29">
        <f t="shared" ca="1" si="40"/>
        <v>126</v>
      </c>
      <c r="Y153" s="8"/>
      <c r="Z153" s="8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</row>
    <row r="154" spans="1:39" ht="15.75" customHeight="1">
      <c r="A154" s="97">
        <v>26</v>
      </c>
      <c r="B154" s="39"/>
      <c r="C154" s="18"/>
      <c r="D154" s="25"/>
      <c r="E154" s="18"/>
      <c r="F154" s="26"/>
      <c r="G154" s="18"/>
      <c r="H154" s="18"/>
      <c r="I154" s="18"/>
      <c r="J154" s="18"/>
      <c r="K154" s="18"/>
      <c r="L154" s="18"/>
      <c r="M154" s="27"/>
      <c r="N154" s="27"/>
      <c r="O154" s="27"/>
      <c r="P154" s="27"/>
      <c r="Q154" s="28"/>
      <c r="R154" s="23"/>
      <c r="S154" s="7"/>
      <c r="T154" s="7"/>
      <c r="U154" s="7"/>
      <c r="V154" s="8"/>
      <c r="W154" s="8"/>
      <c r="X154" s="29">
        <f t="shared" ca="1" si="40"/>
        <v>126</v>
      </c>
      <c r="Y154" s="8"/>
      <c r="Z154" s="8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 spans="1:39" ht="15.75" customHeight="1">
      <c r="A155" s="97">
        <v>28</v>
      </c>
      <c r="B155" s="39"/>
      <c r="C155" s="18"/>
      <c r="D155" s="52"/>
      <c r="E155" s="18"/>
      <c r="F155" s="26"/>
      <c r="G155" s="18"/>
      <c r="H155" s="18"/>
      <c r="I155" s="18"/>
      <c r="J155" s="40"/>
      <c r="K155" s="18"/>
      <c r="L155" s="18"/>
      <c r="M155" s="27"/>
      <c r="N155" s="27"/>
      <c r="O155" s="27"/>
      <c r="P155" s="27"/>
      <c r="Q155" s="28"/>
      <c r="R155" s="7"/>
      <c r="S155" s="7"/>
      <c r="T155" s="7"/>
      <c r="U155" s="7"/>
      <c r="V155" s="8"/>
      <c r="W155" s="8"/>
      <c r="X155" s="29">
        <f t="shared" ca="1" si="40"/>
        <v>126</v>
      </c>
      <c r="Y155" s="8"/>
      <c r="Z155" s="8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 spans="1:39" ht="15.75" customHeight="1">
      <c r="A156" s="97">
        <v>30</v>
      </c>
      <c r="B156" s="39"/>
      <c r="C156" s="18"/>
      <c r="D156" s="25"/>
      <c r="E156" s="162"/>
      <c r="F156" s="26"/>
      <c r="G156" s="13"/>
      <c r="H156" s="18"/>
      <c r="I156" s="18"/>
      <c r="J156" s="18"/>
      <c r="K156" s="18"/>
      <c r="L156" s="18"/>
      <c r="M156" s="27"/>
      <c r="N156" s="27"/>
      <c r="O156" s="27"/>
      <c r="P156" s="19"/>
      <c r="Q156" s="28"/>
      <c r="R156" s="66"/>
      <c r="S156" s="7"/>
      <c r="T156" s="7"/>
      <c r="U156" s="7"/>
      <c r="V156" s="8"/>
      <c r="W156" s="8"/>
      <c r="X156" s="29">
        <f t="shared" ca="1" si="40"/>
        <v>126</v>
      </c>
      <c r="Y156" s="8"/>
      <c r="Z156" s="8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 spans="1:39" ht="15.75" customHeight="1">
      <c r="A157" s="97">
        <v>32</v>
      </c>
      <c r="B157" s="39"/>
      <c r="C157" s="18"/>
      <c r="D157" s="52"/>
      <c r="E157" s="48"/>
      <c r="F157" s="82"/>
      <c r="G157" s="30"/>
      <c r="H157" s="13"/>
      <c r="I157" s="18"/>
      <c r="J157" s="18"/>
      <c r="K157" s="18"/>
      <c r="L157" s="70"/>
      <c r="M157" s="27"/>
      <c r="N157" s="27"/>
      <c r="O157" s="27"/>
      <c r="P157" s="27"/>
      <c r="Q157" s="28"/>
      <c r="R157" s="7"/>
      <c r="S157" s="7"/>
      <c r="T157" s="7"/>
      <c r="U157" s="7"/>
      <c r="V157" s="20"/>
      <c r="W157" s="8"/>
      <c r="X157" s="8"/>
      <c r="Y157" s="22"/>
      <c r="Z157" s="23"/>
      <c r="AA157" s="9"/>
      <c r="AB157" s="9">
        <f ca="1">INT((TODAY()-M157)/365)</f>
        <v>126</v>
      </c>
    </row>
    <row r="158" spans="1:39" ht="15.75" customHeight="1">
      <c r="A158" s="97">
        <v>33</v>
      </c>
      <c r="B158" s="39"/>
      <c r="C158" s="18"/>
      <c r="D158" s="47"/>
      <c r="E158" s="163"/>
      <c r="F158" s="26"/>
      <c r="G158" s="13"/>
      <c r="H158" s="18"/>
      <c r="I158" s="18"/>
      <c r="J158" s="18"/>
      <c r="K158" s="18"/>
      <c r="L158" s="18"/>
      <c r="M158" s="27"/>
      <c r="N158" s="27"/>
      <c r="O158" s="27"/>
      <c r="P158" s="19"/>
      <c r="Q158" s="28"/>
      <c r="R158" s="33"/>
      <c r="S158" s="7"/>
      <c r="T158" s="7"/>
      <c r="U158" s="7"/>
      <c r="V158" s="8"/>
      <c r="W158" s="8"/>
      <c r="X158" s="29">
        <f ca="1">INT((TODAY()-M158)/365)</f>
        <v>126</v>
      </c>
      <c r="Y158" s="8"/>
      <c r="Z158" s="8"/>
      <c r="AA158" s="8"/>
      <c r="AB158" s="8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</row>
    <row r="159" spans="1:39" ht="15.75" customHeight="1">
      <c r="A159" s="97">
        <v>35</v>
      </c>
      <c r="B159" s="39"/>
      <c r="C159" s="18"/>
      <c r="D159" s="25"/>
      <c r="E159" s="48"/>
      <c r="F159" s="82"/>
      <c r="G159" s="18"/>
      <c r="H159" s="13"/>
      <c r="I159" s="18"/>
      <c r="J159" s="18"/>
      <c r="K159" s="18"/>
      <c r="L159" s="18"/>
      <c r="M159" s="27"/>
      <c r="N159" s="27"/>
      <c r="O159" s="27"/>
      <c r="P159" s="27"/>
      <c r="Q159" s="28"/>
      <c r="R159" s="7"/>
      <c r="S159" s="7"/>
      <c r="T159" s="7"/>
      <c r="U159" s="7"/>
      <c r="V159" s="20"/>
      <c r="W159" s="8"/>
      <c r="X159" s="8"/>
      <c r="Y159" s="22"/>
      <c r="Z159" s="23"/>
      <c r="AA159" s="8"/>
      <c r="AB159" s="9">
        <f t="shared" ref="AB159:AB162" ca="1" si="41">INT((TODAY()-M159)/365)</f>
        <v>126</v>
      </c>
    </row>
    <row r="160" spans="1:39" ht="15.75" customHeight="1">
      <c r="A160" s="97">
        <v>36</v>
      </c>
      <c r="B160" s="39"/>
      <c r="C160" s="18"/>
      <c r="D160" s="25"/>
      <c r="E160" s="48"/>
      <c r="F160" s="82"/>
      <c r="G160" s="30"/>
      <c r="H160" s="13"/>
      <c r="I160" s="18"/>
      <c r="J160" s="18"/>
      <c r="K160" s="18"/>
      <c r="L160" s="18"/>
      <c r="M160" s="27"/>
      <c r="N160" s="27"/>
      <c r="O160" s="27"/>
      <c r="P160" s="27"/>
      <c r="Q160" s="28"/>
      <c r="R160" s="7"/>
      <c r="S160" s="7"/>
      <c r="T160" s="7"/>
      <c r="U160" s="7"/>
      <c r="V160" s="20"/>
      <c r="W160" s="22"/>
      <c r="X160" s="22"/>
      <c r="Y160" s="22"/>
      <c r="Z160" s="23"/>
      <c r="AA160" s="23"/>
      <c r="AB160" s="9">
        <f t="shared" ca="1" si="41"/>
        <v>126</v>
      </c>
    </row>
    <row r="161" spans="1:39" ht="15.75" customHeight="1">
      <c r="A161" s="97">
        <v>37</v>
      </c>
      <c r="B161" s="39"/>
      <c r="C161" s="18"/>
      <c r="D161" s="25"/>
      <c r="E161" s="13"/>
      <c r="F161" s="82"/>
      <c r="G161" s="18"/>
      <c r="H161" s="18"/>
      <c r="I161" s="18"/>
      <c r="J161" s="30"/>
      <c r="K161" s="18"/>
      <c r="L161" s="18"/>
      <c r="M161" s="27"/>
      <c r="N161" s="27"/>
      <c r="O161" s="27"/>
      <c r="P161" s="27"/>
      <c r="Q161" s="28"/>
      <c r="R161" s="7"/>
      <c r="S161" s="7"/>
      <c r="T161" s="7"/>
      <c r="U161" s="7"/>
      <c r="V161" s="20"/>
      <c r="W161" s="8"/>
      <c r="X161" s="8"/>
      <c r="Y161" s="8"/>
      <c r="Z161" s="8"/>
      <c r="AA161" s="8"/>
      <c r="AB161" s="9">
        <f t="shared" ca="1" si="41"/>
        <v>126</v>
      </c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</row>
    <row r="162" spans="1:39" ht="15.75" customHeight="1">
      <c r="A162" s="97">
        <v>38</v>
      </c>
      <c r="B162" s="39"/>
      <c r="C162" s="18"/>
      <c r="D162" s="25"/>
      <c r="E162" s="48"/>
      <c r="F162" s="37"/>
      <c r="G162" s="18"/>
      <c r="H162" s="30"/>
      <c r="I162" s="18"/>
      <c r="J162" s="51"/>
      <c r="K162" s="57"/>
      <c r="L162" s="18"/>
      <c r="M162" s="27"/>
      <c r="N162" s="27"/>
      <c r="O162" s="27"/>
      <c r="P162" s="19"/>
      <c r="Q162" s="27"/>
      <c r="R162" s="7"/>
      <c r="S162" s="7"/>
      <c r="T162" s="7"/>
      <c r="U162" s="7"/>
      <c r="V162" s="20"/>
      <c r="W162" s="8"/>
      <c r="X162" s="23"/>
      <c r="Y162" s="4"/>
      <c r="Z162" s="23"/>
      <c r="AA162" s="8"/>
      <c r="AB162" s="44">
        <f t="shared" ca="1" si="41"/>
        <v>126</v>
      </c>
    </row>
    <row r="163" spans="1:39" ht="15.75" customHeight="1">
      <c r="A163" s="62">
        <v>1</v>
      </c>
      <c r="B163" s="43"/>
      <c r="C163" s="18"/>
      <c r="D163" s="35"/>
      <c r="E163" s="32"/>
      <c r="F163" s="26"/>
      <c r="G163" s="32"/>
      <c r="H163" s="18"/>
      <c r="I163" s="13"/>
      <c r="J163" s="17"/>
      <c r="K163" s="18"/>
      <c r="L163" s="13"/>
      <c r="M163" s="19"/>
      <c r="N163" s="19"/>
      <c r="O163" s="19"/>
      <c r="P163" s="19"/>
      <c r="Q163" s="28"/>
      <c r="R163" s="20"/>
      <c r="S163" s="20"/>
      <c r="T163" s="20"/>
      <c r="U163" s="20"/>
      <c r="V163" s="20"/>
      <c r="W163" s="22"/>
      <c r="X163" s="29">
        <f t="shared" ref="X163:X170" ca="1" si="42">INT((TODAY()-M163)/365)</f>
        <v>126</v>
      </c>
      <c r="Y163" s="8"/>
      <c r="Z163" s="8"/>
      <c r="AA163" s="8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</row>
    <row r="164" spans="1:39" ht="15.75" customHeight="1">
      <c r="A164" s="62">
        <v>2</v>
      </c>
      <c r="B164" s="43"/>
      <c r="C164" s="13"/>
      <c r="D164" s="164"/>
      <c r="E164" s="165"/>
      <c r="F164" s="26"/>
      <c r="G164" s="32"/>
      <c r="H164" s="30"/>
      <c r="I164" s="13"/>
      <c r="J164" s="13"/>
      <c r="K164" s="18"/>
      <c r="L164" s="13"/>
      <c r="M164" s="19"/>
      <c r="N164" s="19"/>
      <c r="O164" s="19"/>
      <c r="P164" s="19"/>
      <c r="Q164" s="28"/>
      <c r="R164" s="20"/>
      <c r="S164" s="20"/>
      <c r="T164" s="20"/>
      <c r="U164" s="20"/>
      <c r="V164" s="20"/>
      <c r="W164" s="22"/>
      <c r="X164" s="29">
        <f t="shared" ca="1" si="42"/>
        <v>126</v>
      </c>
      <c r="Y164" s="8"/>
      <c r="Z164" s="8"/>
      <c r="AA164" s="8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</row>
    <row r="165" spans="1:39" ht="15.75" customHeight="1">
      <c r="A165" s="62">
        <v>3</v>
      </c>
      <c r="B165" s="39"/>
      <c r="C165" s="13"/>
      <c r="D165" s="47"/>
      <c r="E165" s="13"/>
      <c r="F165" s="37"/>
      <c r="G165" s="13"/>
      <c r="H165" s="18"/>
      <c r="I165" s="18"/>
      <c r="J165" s="18"/>
      <c r="K165" s="18"/>
      <c r="L165" s="18"/>
      <c r="M165" s="27"/>
      <c r="N165" s="27"/>
      <c r="O165" s="27"/>
      <c r="P165" s="19"/>
      <c r="Q165" s="27"/>
      <c r="R165" s="33"/>
      <c r="S165" s="7"/>
      <c r="T165" s="7"/>
      <c r="U165" s="7"/>
      <c r="V165" s="7"/>
      <c r="W165" s="8"/>
      <c r="X165" s="29">
        <f t="shared" ca="1" si="42"/>
        <v>126</v>
      </c>
      <c r="Y165" s="8"/>
      <c r="Z165" s="8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spans="1:39" ht="15.75" customHeight="1">
      <c r="A166" s="62">
        <v>4</v>
      </c>
      <c r="B166" s="39"/>
      <c r="C166" s="18"/>
      <c r="D166" s="47"/>
      <c r="E166" s="68"/>
      <c r="F166" s="26"/>
      <c r="G166" s="18"/>
      <c r="H166" s="18"/>
      <c r="I166" s="18"/>
      <c r="J166" s="18"/>
      <c r="K166" s="18"/>
      <c r="L166" s="18"/>
      <c r="M166" s="27"/>
      <c r="N166" s="27"/>
      <c r="O166" s="27"/>
      <c r="P166" s="27"/>
      <c r="Q166" s="27"/>
      <c r="R166" s="7"/>
      <c r="S166" s="7"/>
      <c r="T166" s="7"/>
      <c r="U166" s="7"/>
      <c r="V166" s="8"/>
      <c r="W166" s="8"/>
      <c r="X166" s="29">
        <f t="shared" ca="1" si="42"/>
        <v>126</v>
      </c>
      <c r="Y166" s="8"/>
      <c r="Z166" s="8"/>
      <c r="AA166" s="8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</row>
    <row r="167" spans="1:39" ht="15.75" customHeight="1">
      <c r="A167" s="62">
        <v>5</v>
      </c>
      <c r="B167" s="39"/>
      <c r="C167" s="18"/>
      <c r="D167" s="25"/>
      <c r="E167" s="18"/>
      <c r="F167" s="26"/>
      <c r="G167" s="18"/>
      <c r="H167" s="18"/>
      <c r="I167" s="18"/>
      <c r="J167" s="18"/>
      <c r="K167" s="18"/>
      <c r="L167" s="18"/>
      <c r="M167" s="27"/>
      <c r="N167" s="27"/>
      <c r="O167" s="27"/>
      <c r="P167" s="27"/>
      <c r="Q167" s="28"/>
      <c r="R167" s="33"/>
      <c r="S167" s="7"/>
      <c r="T167" s="7"/>
      <c r="U167" s="7"/>
      <c r="V167" s="8"/>
      <c r="W167" s="7"/>
      <c r="X167" s="29">
        <f t="shared" ca="1" si="42"/>
        <v>126</v>
      </c>
      <c r="Y167" s="8"/>
      <c r="Z167" s="8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</row>
    <row r="168" spans="1:39" ht="15.75" customHeight="1">
      <c r="A168" s="62">
        <v>6</v>
      </c>
      <c r="B168" s="39"/>
      <c r="C168" s="18"/>
      <c r="D168" s="25"/>
      <c r="E168" s="13"/>
      <c r="F168" s="37"/>
      <c r="G168" s="13"/>
      <c r="H168" s="18"/>
      <c r="I168" s="18"/>
      <c r="J168" s="30"/>
      <c r="K168" s="18"/>
      <c r="L168" s="13"/>
      <c r="M168" s="27"/>
      <c r="N168" s="27"/>
      <c r="O168" s="27"/>
      <c r="P168" s="27"/>
      <c r="Q168" s="28"/>
      <c r="R168" s="26"/>
      <c r="S168" s="26"/>
      <c r="T168" s="66"/>
      <c r="U168" s="7"/>
      <c r="V168" s="7"/>
      <c r="W168" s="8"/>
      <c r="X168" s="29">
        <f t="shared" ca="1" si="42"/>
        <v>126</v>
      </c>
      <c r="Y168" s="8"/>
      <c r="Z168" s="8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</row>
    <row r="169" spans="1:39" ht="15.75" customHeight="1">
      <c r="A169" s="62">
        <v>7</v>
      </c>
      <c r="B169" s="39"/>
      <c r="C169" s="13"/>
      <c r="D169" s="108"/>
      <c r="E169" s="18"/>
      <c r="F169" s="37"/>
      <c r="G169" s="18"/>
      <c r="H169" s="18"/>
      <c r="I169" s="18"/>
      <c r="J169" s="18"/>
      <c r="K169" s="18"/>
      <c r="L169" s="18"/>
      <c r="M169" s="27"/>
      <c r="N169" s="27"/>
      <c r="O169" s="27"/>
      <c r="P169" s="19"/>
      <c r="Q169" s="65"/>
      <c r="R169" s="7"/>
      <c r="S169" s="7"/>
      <c r="T169" s="7"/>
      <c r="U169" s="7"/>
      <c r="V169" s="7"/>
      <c r="W169" s="8"/>
      <c r="X169" s="29">
        <f t="shared" ca="1" si="42"/>
        <v>126</v>
      </c>
      <c r="Y169" s="8"/>
      <c r="Z169" s="8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 spans="1:39" ht="15.75" customHeight="1">
      <c r="A170" s="62">
        <v>8</v>
      </c>
      <c r="B170" s="39"/>
      <c r="C170" s="13"/>
      <c r="D170" s="47"/>
      <c r="E170" s="18"/>
      <c r="F170" s="37"/>
      <c r="G170" s="18"/>
      <c r="H170" s="18"/>
      <c r="I170" s="18"/>
      <c r="J170" s="18"/>
      <c r="K170" s="18"/>
      <c r="L170" s="18"/>
      <c r="M170" s="27"/>
      <c r="N170" s="27"/>
      <c r="O170" s="27"/>
      <c r="P170" s="19"/>
      <c r="Q170" s="65"/>
      <c r="R170" s="26"/>
      <c r="S170" s="7"/>
      <c r="T170" s="7"/>
      <c r="U170" s="7"/>
      <c r="V170" s="7"/>
      <c r="W170" s="8"/>
      <c r="X170" s="29">
        <f t="shared" ca="1" si="42"/>
        <v>126</v>
      </c>
      <c r="Y170" s="8"/>
      <c r="Z170" s="8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</row>
    <row r="171" spans="1:39" ht="15.75" customHeight="1">
      <c r="A171" s="62">
        <v>9</v>
      </c>
      <c r="B171" s="39"/>
      <c r="C171" s="13"/>
      <c r="D171" s="47"/>
      <c r="E171" s="68"/>
      <c r="F171" s="37"/>
      <c r="G171" s="18"/>
      <c r="H171" s="18"/>
      <c r="I171" s="18"/>
      <c r="J171" s="18"/>
      <c r="K171" s="18"/>
      <c r="L171" s="18"/>
      <c r="M171" s="27"/>
      <c r="N171" s="27"/>
      <c r="O171" s="27"/>
      <c r="P171" s="19"/>
      <c r="Q171" s="28"/>
      <c r="R171" s="33"/>
      <c r="S171" s="7"/>
      <c r="T171" s="7"/>
      <c r="U171" s="7"/>
      <c r="V171" s="7"/>
      <c r="W171" s="29"/>
      <c r="X171" s="8"/>
      <c r="Y171" s="8"/>
      <c r="Z171" s="8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 spans="1:39" ht="15.75" customHeight="1">
      <c r="A172" s="62">
        <v>10</v>
      </c>
      <c r="B172" s="39"/>
      <c r="C172" s="18"/>
      <c r="D172" s="47"/>
      <c r="E172" s="18"/>
      <c r="F172" s="37"/>
      <c r="G172" s="18"/>
      <c r="H172" s="18"/>
      <c r="I172" s="18"/>
      <c r="J172" s="30"/>
      <c r="K172" s="18"/>
      <c r="L172" s="18"/>
      <c r="M172" s="27"/>
      <c r="N172" s="27"/>
      <c r="O172" s="27"/>
      <c r="P172" s="19"/>
      <c r="Q172" s="28"/>
      <c r="R172" s="7"/>
      <c r="S172" s="7"/>
      <c r="T172" s="7"/>
      <c r="U172" s="7"/>
      <c r="V172" s="7"/>
      <c r="W172" s="8"/>
      <c r="X172" s="29">
        <f t="shared" ref="X172:X173" ca="1" si="43">INT((TODAY()-M172)/365)</f>
        <v>126</v>
      </c>
      <c r="Y172" s="8"/>
      <c r="Z172" s="8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</row>
    <row r="173" spans="1:39" ht="15.75" customHeight="1">
      <c r="A173" s="62">
        <v>11</v>
      </c>
      <c r="B173" s="39"/>
      <c r="C173" s="13"/>
      <c r="D173" s="47"/>
      <c r="E173" s="13"/>
      <c r="F173" s="37"/>
      <c r="G173" s="13"/>
      <c r="H173" s="18"/>
      <c r="I173" s="18"/>
      <c r="J173" s="30"/>
      <c r="K173" s="18"/>
      <c r="L173" s="18"/>
      <c r="M173" s="27"/>
      <c r="N173" s="27"/>
      <c r="O173" s="27"/>
      <c r="P173" s="19"/>
      <c r="Q173" s="65"/>
      <c r="R173" s="7"/>
      <c r="S173" s="7"/>
      <c r="T173" s="7"/>
      <c r="U173" s="7"/>
      <c r="V173" s="7"/>
      <c r="W173" s="8"/>
      <c r="X173" s="29">
        <f t="shared" ca="1" si="43"/>
        <v>126</v>
      </c>
      <c r="Y173" s="8"/>
      <c r="Z173" s="8"/>
      <c r="AA173" s="8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 spans="1:39" ht="15.75" customHeight="1">
      <c r="A174" s="62">
        <v>12</v>
      </c>
      <c r="B174" s="39"/>
      <c r="C174" s="18"/>
      <c r="D174" s="25"/>
      <c r="E174" s="68"/>
      <c r="F174" s="26"/>
      <c r="G174" s="13"/>
      <c r="H174" s="30"/>
      <c r="I174" s="18"/>
      <c r="J174" s="30"/>
      <c r="K174" s="18"/>
      <c r="L174" s="18"/>
      <c r="M174" s="27"/>
      <c r="N174" s="27"/>
      <c r="O174" s="27"/>
      <c r="P174" s="27"/>
      <c r="Q174" s="28"/>
      <c r="R174" s="7"/>
      <c r="S174" s="7"/>
      <c r="T174" s="7"/>
      <c r="U174" s="7"/>
      <c r="V174" s="8"/>
      <c r="W174" s="29"/>
      <c r="X174" s="8"/>
      <c r="Y174" s="8"/>
      <c r="Z174" s="8"/>
      <c r="AA174" s="8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 spans="1:39" ht="15.75" customHeight="1">
      <c r="A175" s="62">
        <v>13</v>
      </c>
      <c r="B175" s="24"/>
      <c r="C175" s="18"/>
      <c r="D175" s="36"/>
      <c r="E175" s="63"/>
      <c r="F175" s="26"/>
      <c r="G175" s="30"/>
      <c r="H175" s="30"/>
      <c r="I175" s="30"/>
      <c r="J175" s="30"/>
      <c r="K175" s="18"/>
      <c r="L175" s="18"/>
      <c r="M175" s="27"/>
      <c r="N175" s="64"/>
      <c r="O175" s="27"/>
      <c r="P175" s="27"/>
      <c r="Q175" s="65"/>
      <c r="R175" s="33"/>
      <c r="S175" s="33"/>
      <c r="T175" s="33"/>
      <c r="U175" s="33"/>
      <c r="V175" s="67"/>
      <c r="W175" s="29"/>
      <c r="X175" s="8"/>
      <c r="Y175" s="8"/>
      <c r="Z175" s="8"/>
      <c r="AA175" s="8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</row>
    <row r="176" spans="1:39" ht="15.75" customHeight="1">
      <c r="A176" s="62">
        <v>14</v>
      </c>
      <c r="B176" s="39"/>
      <c r="C176" s="18"/>
      <c r="D176" s="25"/>
      <c r="E176" s="18"/>
      <c r="F176" s="26"/>
      <c r="G176" s="18"/>
      <c r="H176" s="18"/>
      <c r="I176" s="18"/>
      <c r="J176" s="18"/>
      <c r="K176" s="18"/>
      <c r="L176" s="13"/>
      <c r="M176" s="27"/>
      <c r="N176" s="27"/>
      <c r="O176" s="27"/>
      <c r="P176" s="27"/>
      <c r="Q176" s="28"/>
      <c r="R176" s="23"/>
      <c r="S176" s="7"/>
      <c r="T176" s="7"/>
      <c r="U176" s="7"/>
      <c r="V176" s="8"/>
      <c r="W176" s="8"/>
      <c r="X176" s="29">
        <f t="shared" ref="X176:X182" ca="1" si="44">INT((TODAY()-M176)/365)</f>
        <v>126</v>
      </c>
      <c r="Y176" s="8"/>
      <c r="Z176" s="8"/>
      <c r="AA176" s="8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spans="1:39" ht="15.75" customHeight="1">
      <c r="A177" s="62">
        <v>15</v>
      </c>
      <c r="B177" s="43"/>
      <c r="C177" s="13"/>
      <c r="D177" s="35"/>
      <c r="E177" s="31"/>
      <c r="F177" s="166"/>
      <c r="G177" s="32"/>
      <c r="H177" s="18"/>
      <c r="I177" s="13"/>
      <c r="J177" s="17"/>
      <c r="K177" s="18"/>
      <c r="L177" s="13"/>
      <c r="M177" s="19"/>
      <c r="N177" s="19"/>
      <c r="O177" s="19"/>
      <c r="P177" s="27"/>
      <c r="Q177" s="28"/>
      <c r="R177" s="20"/>
      <c r="S177" s="26"/>
      <c r="T177" s="20"/>
      <c r="U177" s="26"/>
      <c r="V177" s="20"/>
      <c r="W177" s="22"/>
      <c r="X177" s="29">
        <f t="shared" ca="1" si="44"/>
        <v>126</v>
      </c>
      <c r="Y177" s="22"/>
      <c r="Z177" s="23"/>
    </row>
    <row r="178" spans="1:39" ht="15.75" customHeight="1">
      <c r="A178" s="62">
        <v>16</v>
      </c>
      <c r="B178" s="39"/>
      <c r="C178" s="13"/>
      <c r="D178" s="47"/>
      <c r="E178" s="18"/>
      <c r="F178" s="37"/>
      <c r="G178" s="18"/>
      <c r="H178" s="18"/>
      <c r="I178" s="18"/>
      <c r="J178" s="30"/>
      <c r="K178" s="18"/>
      <c r="L178" s="18"/>
      <c r="M178" s="27"/>
      <c r="N178" s="27"/>
      <c r="O178" s="27"/>
      <c r="P178" s="19"/>
      <c r="Q178" s="28"/>
      <c r="R178" s="7"/>
      <c r="S178" s="7"/>
      <c r="T178" s="7"/>
      <c r="U178" s="7"/>
      <c r="V178" s="7"/>
      <c r="W178" s="8"/>
      <c r="X178" s="29">
        <f t="shared" ca="1" si="44"/>
        <v>126</v>
      </c>
      <c r="Y178" s="8"/>
      <c r="Z178" s="8"/>
      <c r="AA178" s="8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spans="1:39" ht="15.75" customHeight="1">
      <c r="A179" s="62">
        <v>17</v>
      </c>
      <c r="B179" s="39"/>
      <c r="C179" s="18"/>
      <c r="D179" s="25"/>
      <c r="E179" s="13"/>
      <c r="F179" s="26"/>
      <c r="G179" s="13"/>
      <c r="H179" s="18"/>
      <c r="I179" s="18"/>
      <c r="J179" s="30"/>
      <c r="K179" s="18"/>
      <c r="L179" s="18"/>
      <c r="M179" s="27"/>
      <c r="N179" s="27"/>
      <c r="O179" s="27"/>
      <c r="P179" s="27"/>
      <c r="Q179" s="27"/>
      <c r="R179" s="7"/>
      <c r="S179" s="7"/>
      <c r="T179" s="7"/>
      <c r="U179" s="7"/>
      <c r="V179" s="8"/>
      <c r="W179" s="8"/>
      <c r="X179" s="29">
        <f t="shared" ca="1" si="44"/>
        <v>126</v>
      </c>
      <c r="Y179" s="8"/>
      <c r="Z179" s="8"/>
      <c r="AA179" s="8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</row>
    <row r="180" spans="1:39" ht="15.75" customHeight="1">
      <c r="A180" s="62">
        <v>18</v>
      </c>
      <c r="B180" s="39"/>
      <c r="C180" s="18"/>
      <c r="D180" s="47"/>
      <c r="E180" s="18"/>
      <c r="F180" s="26"/>
      <c r="G180" s="18"/>
      <c r="H180" s="18"/>
      <c r="I180" s="18"/>
      <c r="J180" s="30"/>
      <c r="K180" s="18"/>
      <c r="L180" s="18"/>
      <c r="M180" s="27"/>
      <c r="N180" s="27"/>
      <c r="O180" s="27"/>
      <c r="P180" s="27"/>
      <c r="Q180" s="27"/>
      <c r="R180" s="33"/>
      <c r="S180" s="7"/>
      <c r="T180" s="7"/>
      <c r="U180" s="7"/>
      <c r="V180" s="8"/>
      <c r="W180" s="8"/>
      <c r="X180" s="29">
        <f t="shared" ca="1" si="44"/>
        <v>126</v>
      </c>
      <c r="Y180" s="8"/>
      <c r="Z180" s="8"/>
      <c r="AA180" s="8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</row>
    <row r="181" spans="1:39" ht="15.75" customHeight="1">
      <c r="A181" s="62">
        <v>19</v>
      </c>
      <c r="B181" s="39"/>
      <c r="C181" s="18"/>
      <c r="D181" s="25"/>
      <c r="E181" s="18"/>
      <c r="F181" s="26"/>
      <c r="G181" s="18"/>
      <c r="H181" s="18"/>
      <c r="I181" s="18"/>
      <c r="J181" s="30"/>
      <c r="K181" s="18"/>
      <c r="L181" s="18"/>
      <c r="M181" s="27"/>
      <c r="N181" s="27"/>
      <c r="O181" s="27"/>
      <c r="P181" s="27"/>
      <c r="Q181" s="28"/>
      <c r="R181" s="7"/>
      <c r="S181" s="7"/>
      <c r="T181" s="7"/>
      <c r="U181" s="7"/>
      <c r="V181" s="8"/>
      <c r="W181" s="8"/>
      <c r="X181" s="29">
        <f t="shared" ca="1" si="44"/>
        <v>126</v>
      </c>
      <c r="Y181" s="8"/>
      <c r="Z181" s="8"/>
      <c r="AA181" s="8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 spans="1:39" ht="15.75" customHeight="1">
      <c r="A182" s="62">
        <v>22</v>
      </c>
      <c r="B182" s="39"/>
      <c r="C182" s="18"/>
      <c r="D182" s="47"/>
      <c r="E182" s="68"/>
      <c r="F182" s="26"/>
      <c r="G182" s="18"/>
      <c r="H182" s="18"/>
      <c r="I182" s="18"/>
      <c r="J182" s="30"/>
      <c r="K182" s="18"/>
      <c r="L182" s="18"/>
      <c r="M182" s="27"/>
      <c r="N182" s="27"/>
      <c r="O182" s="27"/>
      <c r="P182" s="27"/>
      <c r="Q182" s="27"/>
      <c r="R182" s="23"/>
      <c r="S182" s="7"/>
      <c r="T182" s="7"/>
      <c r="U182" s="23"/>
      <c r="V182" s="8"/>
      <c r="W182" s="8"/>
      <c r="X182" s="29">
        <f t="shared" ca="1" si="44"/>
        <v>126</v>
      </c>
      <c r="Y182" s="8"/>
      <c r="Z182" s="8"/>
      <c r="AA182" s="8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</row>
    <row r="183" spans="1:39" ht="15.75" customHeight="1">
      <c r="A183" s="62">
        <v>23</v>
      </c>
      <c r="B183" s="43"/>
      <c r="C183" s="18"/>
      <c r="D183" s="35"/>
      <c r="E183" s="116"/>
      <c r="F183" s="167"/>
      <c r="G183" s="32"/>
      <c r="H183" s="30"/>
      <c r="I183" s="13"/>
      <c r="J183" s="13"/>
      <c r="K183" s="18"/>
      <c r="L183" s="13"/>
      <c r="M183" s="19"/>
      <c r="N183" s="19"/>
      <c r="O183" s="19"/>
      <c r="P183" s="27"/>
      <c r="Q183" s="28"/>
      <c r="R183" s="20"/>
      <c r="S183" s="20"/>
      <c r="T183" s="20"/>
      <c r="U183" s="20"/>
      <c r="V183" s="20"/>
      <c r="W183" s="29"/>
      <c r="X183" s="22"/>
      <c r="Y183" s="22"/>
      <c r="Z183" s="23"/>
      <c r="AA183" s="23"/>
    </row>
    <row r="184" spans="1:39" ht="15.75" customHeight="1">
      <c r="A184" s="62">
        <v>24</v>
      </c>
      <c r="B184" s="39"/>
      <c r="C184" s="13"/>
      <c r="D184" s="47"/>
      <c r="E184" s="13"/>
      <c r="F184" s="37"/>
      <c r="G184" s="13"/>
      <c r="H184" s="18"/>
      <c r="I184" s="18"/>
      <c r="J184" s="18"/>
      <c r="K184" s="18"/>
      <c r="L184" s="18"/>
      <c r="M184" s="27"/>
      <c r="N184" s="27"/>
      <c r="O184" s="27"/>
      <c r="P184" s="19"/>
      <c r="Q184" s="65"/>
      <c r="R184" s="33"/>
      <c r="S184" s="7"/>
      <c r="T184" s="7"/>
      <c r="U184" s="26"/>
      <c r="V184" s="7"/>
      <c r="W184" s="8"/>
      <c r="X184" s="29">
        <f t="shared" ref="X184:X187" ca="1" si="45">INT((TODAY()-M184)/365)</f>
        <v>126</v>
      </c>
      <c r="Y184" s="8"/>
      <c r="Z184" s="8"/>
      <c r="AA184" s="8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</row>
    <row r="185" spans="1:39" ht="15.75" customHeight="1">
      <c r="A185" s="62">
        <v>26</v>
      </c>
      <c r="B185" s="39"/>
      <c r="C185" s="18"/>
      <c r="D185" s="25"/>
      <c r="E185" s="13"/>
      <c r="F185" s="26"/>
      <c r="G185" s="13"/>
      <c r="H185" s="18"/>
      <c r="I185" s="18"/>
      <c r="J185" s="18"/>
      <c r="K185" s="18"/>
      <c r="L185" s="18"/>
      <c r="M185" s="27"/>
      <c r="N185" s="27"/>
      <c r="O185" s="27"/>
      <c r="P185" s="27"/>
      <c r="Q185" s="28"/>
      <c r="R185" s="33"/>
      <c r="S185" s="7"/>
      <c r="T185" s="7"/>
      <c r="U185" s="23"/>
      <c r="V185" s="8"/>
      <c r="W185" s="8"/>
      <c r="X185" s="29">
        <f t="shared" ca="1" si="45"/>
        <v>126</v>
      </c>
      <c r="Y185" s="8"/>
      <c r="Z185" s="8"/>
      <c r="AA185" s="8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spans="1:39" ht="15.75" customHeight="1">
      <c r="A186" s="62">
        <v>27</v>
      </c>
      <c r="B186" s="39"/>
      <c r="C186" s="18"/>
      <c r="D186" s="25"/>
      <c r="E186" s="13"/>
      <c r="F186" s="26"/>
      <c r="G186" s="13"/>
      <c r="H186" s="18"/>
      <c r="I186" s="18"/>
      <c r="J186" s="30"/>
      <c r="K186" s="18"/>
      <c r="L186" s="18"/>
      <c r="M186" s="27"/>
      <c r="N186" s="27"/>
      <c r="O186" s="27"/>
      <c r="P186" s="27"/>
      <c r="Q186" s="28"/>
      <c r="R186" s="33"/>
      <c r="S186" s="7"/>
      <c r="T186" s="7"/>
      <c r="U186" s="23"/>
      <c r="V186" s="8"/>
      <c r="W186" s="8"/>
      <c r="X186" s="29">
        <f t="shared" ca="1" si="45"/>
        <v>126</v>
      </c>
      <c r="Y186" s="8"/>
      <c r="Z186" s="8"/>
      <c r="AA186" s="8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spans="1:39" ht="15.75" customHeight="1">
      <c r="A187" s="62">
        <v>28</v>
      </c>
      <c r="B187" s="39"/>
      <c r="C187" s="13"/>
      <c r="D187" s="168"/>
      <c r="E187" s="18"/>
      <c r="F187" s="37"/>
      <c r="G187" s="18"/>
      <c r="H187" s="18"/>
      <c r="I187" s="18"/>
      <c r="J187" s="18"/>
      <c r="K187" s="18"/>
      <c r="L187" s="18"/>
      <c r="M187" s="27"/>
      <c r="N187" s="27"/>
      <c r="O187" s="27"/>
      <c r="P187" s="19"/>
      <c r="Q187" s="65"/>
      <c r="R187" s="26"/>
      <c r="S187" s="7"/>
      <c r="T187" s="7"/>
      <c r="U187" s="7"/>
      <c r="V187" s="7"/>
      <c r="W187" s="8"/>
      <c r="X187" s="29">
        <f t="shared" ca="1" si="45"/>
        <v>126</v>
      </c>
      <c r="Y187" s="8"/>
      <c r="Z187" s="8"/>
      <c r="AA187" s="8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spans="1:39" ht="15.75" customHeight="1">
      <c r="A188" s="62">
        <v>29</v>
      </c>
      <c r="B188" s="39"/>
      <c r="C188" s="18"/>
      <c r="D188" s="108"/>
      <c r="E188" s="68"/>
      <c r="F188" s="166"/>
      <c r="G188" s="18"/>
      <c r="H188" s="30"/>
      <c r="I188" s="18"/>
      <c r="J188" s="18"/>
      <c r="K188" s="18"/>
      <c r="L188" s="18"/>
      <c r="M188" s="27"/>
      <c r="N188" s="27"/>
      <c r="O188" s="27"/>
      <c r="P188" s="27"/>
      <c r="Q188" s="28"/>
      <c r="R188" s="7"/>
      <c r="S188" s="7"/>
      <c r="T188" s="7"/>
      <c r="U188" s="7"/>
      <c r="V188" s="7"/>
      <c r="W188" s="29"/>
      <c r="X188" s="8"/>
      <c r="Y188" s="8"/>
      <c r="Z188" s="8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</row>
    <row r="189" spans="1:39" ht="15.75" customHeight="1">
      <c r="A189" s="62">
        <v>30</v>
      </c>
      <c r="B189" s="39"/>
      <c r="C189" s="18"/>
      <c r="D189" s="25"/>
      <c r="E189" s="18"/>
      <c r="F189" s="37"/>
      <c r="G189" s="18"/>
      <c r="H189" s="18"/>
      <c r="I189" s="18"/>
      <c r="J189" s="18"/>
      <c r="K189" s="18"/>
      <c r="L189" s="18"/>
      <c r="M189" s="27"/>
      <c r="N189" s="27"/>
      <c r="O189" s="27"/>
      <c r="P189" s="27"/>
      <c r="Q189" s="28"/>
      <c r="R189" s="7"/>
      <c r="S189" s="7"/>
      <c r="T189" s="7"/>
      <c r="U189" s="7"/>
      <c r="V189" s="7"/>
      <c r="W189" s="8"/>
      <c r="X189" s="29">
        <f t="shared" ref="X189:X192" ca="1" si="46">INT((TODAY()-M189)/365)</f>
        <v>126</v>
      </c>
      <c r="Y189" s="8"/>
      <c r="Z189" s="8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spans="1:39" ht="15.75" customHeight="1">
      <c r="A190" s="62">
        <v>31</v>
      </c>
      <c r="B190" s="39"/>
      <c r="C190" s="18"/>
      <c r="D190" s="47"/>
      <c r="E190" s="13"/>
      <c r="F190" s="26"/>
      <c r="G190" s="13"/>
      <c r="H190" s="18"/>
      <c r="I190" s="18"/>
      <c r="J190" s="30"/>
      <c r="K190" s="18"/>
      <c r="L190" s="18"/>
      <c r="M190" s="27"/>
      <c r="N190" s="27"/>
      <c r="O190" s="27"/>
      <c r="P190" s="27"/>
      <c r="Q190" s="28"/>
      <c r="R190" s="7"/>
      <c r="S190" s="7"/>
      <c r="T190" s="7"/>
      <c r="U190" s="7"/>
      <c r="V190" s="8"/>
      <c r="W190" s="8"/>
      <c r="X190" s="29">
        <f t="shared" ca="1" si="46"/>
        <v>126</v>
      </c>
      <c r="Y190" s="8"/>
      <c r="Z190" s="8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spans="1:39" ht="15.75" customHeight="1">
      <c r="A191" s="62">
        <v>32</v>
      </c>
      <c r="B191" s="39"/>
      <c r="C191" s="18"/>
      <c r="D191" s="47"/>
      <c r="E191" s="68"/>
      <c r="F191" s="26"/>
      <c r="G191" s="13"/>
      <c r="H191" s="18"/>
      <c r="I191" s="18"/>
      <c r="J191" s="30"/>
      <c r="K191" s="18"/>
      <c r="L191" s="13"/>
      <c r="M191" s="27"/>
      <c r="N191" s="27"/>
      <c r="O191" s="27"/>
      <c r="P191" s="19"/>
      <c r="Q191" s="27"/>
      <c r="R191" s="7"/>
      <c r="S191" s="7"/>
      <c r="T191" s="21"/>
      <c r="U191" s="7"/>
      <c r="V191" s="8"/>
      <c r="W191" s="8"/>
      <c r="X191" s="29">
        <f t="shared" ca="1" si="46"/>
        <v>126</v>
      </c>
      <c r="Y191" s="40"/>
      <c r="Z191" s="23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</row>
    <row r="192" spans="1:39" ht="15.75" customHeight="1">
      <c r="A192" s="62">
        <v>33</v>
      </c>
      <c r="B192" s="39"/>
      <c r="C192" s="13"/>
      <c r="D192" s="168"/>
      <c r="E192" s="13"/>
      <c r="F192" s="169"/>
      <c r="G192" s="13"/>
      <c r="H192" s="18"/>
      <c r="I192" s="18"/>
      <c r="J192" s="30"/>
      <c r="K192" s="18"/>
      <c r="L192" s="18"/>
      <c r="M192" s="27"/>
      <c r="N192" s="27"/>
      <c r="O192" s="27"/>
      <c r="P192" s="19"/>
      <c r="Q192" s="28"/>
      <c r="R192" s="7"/>
      <c r="S192" s="7"/>
      <c r="T192" s="7"/>
      <c r="U192" s="7"/>
      <c r="V192" s="7"/>
      <c r="W192" s="8"/>
      <c r="X192" s="29">
        <f t="shared" ca="1" si="46"/>
        <v>126</v>
      </c>
      <c r="Y192" s="8"/>
      <c r="Z192" s="8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spans="1:39" ht="15.75" customHeight="1">
      <c r="A193" s="62">
        <v>34</v>
      </c>
      <c r="B193" s="39"/>
      <c r="C193" s="18"/>
      <c r="D193" s="25"/>
      <c r="E193" s="68"/>
      <c r="F193" s="26"/>
      <c r="G193" s="13"/>
      <c r="H193" s="30"/>
      <c r="I193" s="18"/>
      <c r="J193" s="30"/>
      <c r="K193" s="18"/>
      <c r="L193" s="18"/>
      <c r="M193" s="27"/>
      <c r="N193" s="27"/>
      <c r="O193" s="27"/>
      <c r="P193" s="27"/>
      <c r="Q193" s="27"/>
      <c r="R193" s="7"/>
      <c r="S193" s="7"/>
      <c r="T193" s="7"/>
      <c r="U193" s="7"/>
      <c r="V193" s="8"/>
      <c r="W193" s="29"/>
      <c r="X193" s="23"/>
      <c r="Y193" s="40"/>
      <c r="Z193" s="23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</row>
    <row r="194" spans="1:39" ht="15.75" customHeight="1">
      <c r="A194" s="62">
        <v>35</v>
      </c>
      <c r="B194" s="24"/>
      <c r="C194" s="18"/>
      <c r="D194" s="36"/>
      <c r="E194" s="116"/>
      <c r="F194" s="37"/>
      <c r="G194" s="30"/>
      <c r="H194" s="30"/>
      <c r="I194" s="30"/>
      <c r="J194" s="30"/>
      <c r="K194" s="18"/>
      <c r="L194" s="18"/>
      <c r="M194" s="27"/>
      <c r="N194" s="64"/>
      <c r="O194" s="27"/>
      <c r="P194" s="27"/>
      <c r="Q194" s="27"/>
      <c r="R194" s="33"/>
      <c r="S194" s="33"/>
      <c r="T194" s="33"/>
      <c r="U194" s="33"/>
      <c r="V194" s="67"/>
      <c r="W194" s="40"/>
      <c r="X194" s="23"/>
      <c r="Y194" s="40"/>
      <c r="Z194" s="23"/>
      <c r="AA194" s="45"/>
      <c r="AB194" s="44">
        <f ca="1">INT((TODAY()-M194)/365)</f>
        <v>126</v>
      </c>
      <c r="AC194" s="45"/>
      <c r="AE194" s="45"/>
      <c r="AF194" s="45"/>
    </row>
    <row r="195" spans="1:39" ht="15.75" customHeight="1">
      <c r="A195" s="62">
        <v>37</v>
      </c>
      <c r="B195" s="39"/>
      <c r="C195" s="18"/>
      <c r="D195" s="25"/>
      <c r="E195" s="68"/>
      <c r="F195" s="26"/>
      <c r="G195" s="13"/>
      <c r="H195" s="18"/>
      <c r="I195" s="18"/>
      <c r="J195" s="18"/>
      <c r="K195" s="18"/>
      <c r="L195" s="18"/>
      <c r="M195" s="27"/>
      <c r="N195" s="27"/>
      <c r="O195" s="27"/>
      <c r="P195" s="27"/>
      <c r="Q195" s="28"/>
      <c r="R195" s="7"/>
      <c r="S195" s="7"/>
      <c r="T195" s="7"/>
      <c r="U195" s="7"/>
      <c r="V195" s="8"/>
      <c r="W195" s="8"/>
      <c r="X195" s="29">
        <f t="shared" ref="X195:X196" ca="1" si="47">INT((TODAY()-M195)/365)</f>
        <v>126</v>
      </c>
      <c r="Y195" s="22"/>
      <c r="Z195" s="23"/>
    </row>
    <row r="196" spans="1:39" ht="15.75" customHeight="1">
      <c r="A196" s="62">
        <v>38</v>
      </c>
      <c r="B196" s="39"/>
      <c r="C196" s="18"/>
      <c r="D196" s="47"/>
      <c r="E196" s="13"/>
      <c r="F196" s="26"/>
      <c r="G196" s="13"/>
      <c r="H196" s="18"/>
      <c r="I196" s="18"/>
      <c r="J196" s="30"/>
      <c r="K196" s="18"/>
      <c r="L196" s="18"/>
      <c r="M196" s="27"/>
      <c r="N196" s="27"/>
      <c r="O196" s="27"/>
      <c r="P196" s="27"/>
      <c r="Q196" s="27"/>
      <c r="R196" s="7"/>
      <c r="S196" s="7"/>
      <c r="T196" s="7"/>
      <c r="U196" s="7"/>
      <c r="V196" s="8"/>
      <c r="W196" s="8"/>
      <c r="X196" s="29">
        <f t="shared" ca="1" si="47"/>
        <v>126</v>
      </c>
      <c r="Y196" s="8"/>
      <c r="Z196" s="8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 spans="1:39" ht="15.75" customHeight="1">
      <c r="A197" s="62">
        <v>39</v>
      </c>
      <c r="B197" s="39"/>
      <c r="C197" s="13"/>
      <c r="D197" s="47"/>
      <c r="E197" s="68"/>
      <c r="F197" s="169"/>
      <c r="G197" s="18"/>
      <c r="H197" s="18"/>
      <c r="I197" s="18"/>
      <c r="J197" s="30"/>
      <c r="K197" s="18"/>
      <c r="L197" s="18"/>
      <c r="M197" s="27"/>
      <c r="N197" s="27"/>
      <c r="O197" s="27"/>
      <c r="P197" s="19"/>
      <c r="Q197" s="65"/>
      <c r="R197" s="7"/>
      <c r="S197" s="7"/>
      <c r="T197" s="7"/>
      <c r="U197" s="7"/>
      <c r="V197" s="7"/>
      <c r="W197" s="29"/>
      <c r="X197" s="8"/>
      <c r="Y197" s="8"/>
      <c r="Z197" s="8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 spans="1:39" ht="15.75" customHeight="1">
      <c r="A198" s="62">
        <v>40</v>
      </c>
      <c r="B198" s="39"/>
      <c r="C198" s="18"/>
      <c r="D198" s="47"/>
      <c r="E198" s="63"/>
      <c r="F198" s="26"/>
      <c r="G198" s="30"/>
      <c r="H198" s="18"/>
      <c r="I198" s="30"/>
      <c r="J198" s="30"/>
      <c r="K198" s="18"/>
      <c r="L198" s="70"/>
      <c r="M198" s="27"/>
      <c r="N198" s="27"/>
      <c r="O198" s="27"/>
      <c r="P198" s="27"/>
      <c r="Q198" s="65"/>
      <c r="R198" s="33"/>
      <c r="S198" s="21"/>
      <c r="T198" s="7"/>
      <c r="U198" s="7"/>
      <c r="V198" s="8"/>
      <c r="W198" s="8"/>
      <c r="X198" s="29">
        <f t="shared" ref="X198:X200" ca="1" si="48">INT((TODAY()-M198)/365)</f>
        <v>126</v>
      </c>
      <c r="Y198" s="22"/>
      <c r="Z198" s="23"/>
    </row>
    <row r="199" spans="1:39" ht="15.75" customHeight="1">
      <c r="A199" s="62">
        <v>41</v>
      </c>
      <c r="B199" s="39"/>
      <c r="C199" s="18"/>
      <c r="D199" s="47"/>
      <c r="E199" s="68"/>
      <c r="F199" s="26"/>
      <c r="G199" s="18"/>
      <c r="H199" s="18"/>
      <c r="I199" s="18"/>
      <c r="J199" s="18"/>
      <c r="K199" s="18"/>
      <c r="L199" s="18"/>
      <c r="M199" s="27"/>
      <c r="N199" s="27"/>
      <c r="O199" s="27"/>
      <c r="P199" s="19"/>
      <c r="Q199" s="27"/>
      <c r="R199" s="33"/>
      <c r="S199" s="7"/>
      <c r="T199" s="7"/>
      <c r="U199" s="7"/>
      <c r="V199" s="8"/>
      <c r="W199" s="8"/>
      <c r="X199" s="29">
        <f t="shared" ca="1" si="48"/>
        <v>126</v>
      </c>
      <c r="Y199" s="22"/>
      <c r="Z199" s="23"/>
    </row>
    <row r="200" spans="1:39" ht="15.75" customHeight="1">
      <c r="A200" s="62">
        <v>42</v>
      </c>
      <c r="B200" s="39"/>
      <c r="C200" s="18"/>
      <c r="D200" s="25"/>
      <c r="E200" s="13"/>
      <c r="F200" s="26"/>
      <c r="G200" s="13"/>
      <c r="H200" s="18"/>
      <c r="I200" s="18"/>
      <c r="J200" s="30"/>
      <c r="K200" s="18"/>
      <c r="L200" s="18"/>
      <c r="M200" s="27"/>
      <c r="N200" s="27"/>
      <c r="O200" s="27"/>
      <c r="P200" s="19"/>
      <c r="Q200" s="27"/>
      <c r="R200" s="7"/>
      <c r="S200" s="7"/>
      <c r="T200" s="7"/>
      <c r="U200" s="7"/>
      <c r="V200" s="8"/>
      <c r="W200" s="8"/>
      <c r="X200" s="29">
        <f t="shared" ca="1" si="48"/>
        <v>126</v>
      </c>
      <c r="Y200" s="8"/>
      <c r="Z200" s="8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</row>
    <row r="201" spans="1:39" ht="15.75" customHeight="1">
      <c r="A201" s="62">
        <v>44</v>
      </c>
      <c r="B201" s="39"/>
      <c r="C201" s="18"/>
      <c r="D201" s="25"/>
      <c r="E201" s="68"/>
      <c r="F201" s="26"/>
      <c r="G201" s="18"/>
      <c r="H201" s="30"/>
      <c r="I201" s="18"/>
      <c r="J201" s="18"/>
      <c r="K201" s="18"/>
      <c r="L201" s="18"/>
      <c r="M201" s="27"/>
      <c r="N201" s="27"/>
      <c r="O201" s="27"/>
      <c r="P201" s="27"/>
      <c r="Q201" s="28"/>
      <c r="R201" s="7"/>
      <c r="S201" s="7"/>
      <c r="T201" s="7"/>
      <c r="U201" s="7"/>
      <c r="V201" s="8"/>
      <c r="W201" s="29"/>
      <c r="X201" s="22"/>
      <c r="Y201" s="22"/>
      <c r="Z201" s="23"/>
    </row>
    <row r="202" spans="1:39" ht="15.75" customHeight="1">
      <c r="A202" s="62">
        <v>45</v>
      </c>
      <c r="B202" s="39"/>
      <c r="C202" s="13"/>
      <c r="D202" s="25"/>
      <c r="E202" s="68"/>
      <c r="F202" s="26"/>
      <c r="G202" s="18"/>
      <c r="H202" s="30"/>
      <c r="I202" s="18"/>
      <c r="J202" s="18"/>
      <c r="K202" s="18"/>
      <c r="L202" s="18"/>
      <c r="M202" s="27"/>
      <c r="N202" s="27"/>
      <c r="O202" s="27"/>
      <c r="P202" s="27"/>
      <c r="Q202" s="28"/>
      <c r="R202" s="7"/>
      <c r="S202" s="7"/>
      <c r="T202" s="7"/>
      <c r="U202" s="7"/>
      <c r="V202" s="8"/>
      <c r="W202" s="8"/>
      <c r="X202" s="29">
        <f ca="1">INT((TODAY()-M202)/365)</f>
        <v>126</v>
      </c>
      <c r="Y202" s="23"/>
      <c r="Z202" s="23"/>
    </row>
    <row r="203" spans="1:39" ht="15.75" customHeight="1">
      <c r="A203" s="62">
        <v>46</v>
      </c>
      <c r="B203" s="39"/>
      <c r="C203" s="13"/>
      <c r="D203" s="47"/>
      <c r="E203" s="68"/>
      <c r="F203" s="169"/>
      <c r="G203" s="18"/>
      <c r="H203" s="18"/>
      <c r="I203" s="18"/>
      <c r="J203" s="18"/>
      <c r="K203" s="18"/>
      <c r="L203" s="18"/>
      <c r="M203" s="27"/>
      <c r="N203" s="27"/>
      <c r="O203" s="27"/>
      <c r="P203" s="19"/>
      <c r="Q203" s="65"/>
      <c r="R203" s="7"/>
      <c r="S203" s="7"/>
      <c r="T203" s="7"/>
      <c r="U203" s="7"/>
      <c r="V203" s="7"/>
      <c r="W203" s="29"/>
      <c r="X203" s="8"/>
      <c r="Y203" s="8"/>
      <c r="Z203" s="8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</row>
    <row r="204" spans="1:39" ht="15.75" customHeight="1">
      <c r="A204" s="62">
        <v>47</v>
      </c>
      <c r="B204" s="43"/>
      <c r="C204" s="13"/>
      <c r="D204" s="35"/>
      <c r="E204" s="165"/>
      <c r="F204" s="169"/>
      <c r="G204" s="32"/>
      <c r="H204" s="18"/>
      <c r="I204" s="13"/>
      <c r="J204" s="17"/>
      <c r="K204" s="18"/>
      <c r="L204" s="13"/>
      <c r="M204" s="19"/>
      <c r="N204" s="19"/>
      <c r="O204" s="19"/>
      <c r="P204" s="19"/>
      <c r="Q204" s="65"/>
      <c r="R204" s="20"/>
      <c r="S204" s="20"/>
      <c r="T204" s="20"/>
      <c r="U204" s="20"/>
      <c r="V204" s="20"/>
      <c r="W204" s="29"/>
      <c r="X204" s="22"/>
      <c r="Y204" s="22"/>
      <c r="Z204" s="23"/>
    </row>
    <row r="205" spans="1:39" ht="15.75" customHeight="1">
      <c r="A205" s="62">
        <v>49</v>
      </c>
      <c r="B205" s="39"/>
      <c r="C205" s="13"/>
      <c r="D205" s="47"/>
      <c r="E205" s="13"/>
      <c r="F205" s="169"/>
      <c r="G205" s="13"/>
      <c r="H205" s="18"/>
      <c r="I205" s="18"/>
      <c r="J205" s="30"/>
      <c r="K205" s="18"/>
      <c r="L205" s="13"/>
      <c r="M205" s="27"/>
      <c r="N205" s="27"/>
      <c r="O205" s="27"/>
      <c r="P205" s="19"/>
      <c r="Q205" s="28"/>
      <c r="R205" s="26"/>
      <c r="S205" s="7"/>
      <c r="T205" s="7"/>
      <c r="U205" s="7"/>
      <c r="V205" s="7"/>
      <c r="W205" s="8"/>
      <c r="X205" s="29">
        <f t="shared" ref="X205:X207" ca="1" si="49">INT((TODAY()-M205)/365)</f>
        <v>126</v>
      </c>
      <c r="Y205" s="8"/>
      <c r="Z205" s="8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 spans="1:39" ht="15.75" customHeight="1">
      <c r="A206" s="62">
        <v>50</v>
      </c>
      <c r="B206" s="39"/>
      <c r="C206" s="18"/>
      <c r="D206" s="47"/>
      <c r="E206" s="18"/>
      <c r="F206" s="26"/>
      <c r="G206" s="18"/>
      <c r="H206" s="18"/>
      <c r="I206" s="18"/>
      <c r="J206" s="30"/>
      <c r="K206" s="18"/>
      <c r="L206" s="18"/>
      <c r="M206" s="27"/>
      <c r="N206" s="27"/>
      <c r="O206" s="27"/>
      <c r="P206" s="27"/>
      <c r="Q206" s="28"/>
      <c r="R206" s="33"/>
      <c r="S206" s="7"/>
      <c r="T206" s="23"/>
      <c r="U206" s="7"/>
      <c r="V206" s="8"/>
      <c r="W206" s="8"/>
      <c r="X206" s="29">
        <f t="shared" ca="1" si="49"/>
        <v>126</v>
      </c>
      <c r="Y206" s="8"/>
      <c r="Z206" s="8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</row>
    <row r="207" spans="1:39" ht="15.75" customHeight="1">
      <c r="A207" s="62">
        <v>51</v>
      </c>
      <c r="B207" s="43"/>
      <c r="C207" s="13"/>
      <c r="D207" s="35"/>
      <c r="E207" s="32"/>
      <c r="F207" s="169"/>
      <c r="G207" s="32"/>
      <c r="H207" s="18"/>
      <c r="I207" s="13"/>
      <c r="J207" s="17"/>
      <c r="K207" s="18"/>
      <c r="L207" s="18"/>
      <c r="M207" s="19"/>
      <c r="N207" s="19"/>
      <c r="O207" s="19"/>
      <c r="P207" s="19"/>
      <c r="Q207" s="170"/>
      <c r="R207" s="26"/>
      <c r="S207" s="26"/>
      <c r="T207" s="20"/>
      <c r="U207" s="20"/>
      <c r="V207" s="20"/>
      <c r="W207" s="22"/>
      <c r="X207" s="29">
        <f t="shared" ca="1" si="49"/>
        <v>126</v>
      </c>
      <c r="Y207" s="23"/>
      <c r="Z207" s="23"/>
    </row>
    <row r="208" spans="1:39" ht="15.75" customHeight="1">
      <c r="A208" s="62">
        <v>52</v>
      </c>
      <c r="B208" s="39"/>
      <c r="C208" s="13"/>
      <c r="D208" s="47"/>
      <c r="E208" s="68"/>
      <c r="F208" s="26"/>
      <c r="G208" s="13"/>
      <c r="H208" s="18"/>
      <c r="I208" s="18"/>
      <c r="J208" s="18"/>
      <c r="K208" s="18"/>
      <c r="L208" s="18"/>
      <c r="M208" s="27"/>
      <c r="N208" s="27"/>
      <c r="O208" s="27"/>
      <c r="P208" s="19"/>
      <c r="Q208" s="65"/>
      <c r="R208" s="26"/>
      <c r="S208" s="7"/>
      <c r="T208" s="7"/>
      <c r="U208" s="7"/>
      <c r="V208" s="7"/>
      <c r="W208" s="29"/>
      <c r="X208" s="8"/>
      <c r="Y208" s="8"/>
      <c r="Z208" s="8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</row>
    <row r="209" spans="1:39" ht="15.75" customHeight="1">
      <c r="A209" s="62">
        <v>53</v>
      </c>
      <c r="B209" s="39"/>
      <c r="C209" s="171"/>
      <c r="D209" s="172"/>
      <c r="E209" s="13"/>
      <c r="F209" s="26"/>
      <c r="G209" s="13"/>
      <c r="H209" s="18"/>
      <c r="I209" s="171"/>
      <c r="J209" s="40"/>
      <c r="K209" s="18"/>
      <c r="L209" s="13"/>
      <c r="M209" s="27"/>
      <c r="N209" s="27"/>
      <c r="O209" s="27"/>
      <c r="P209" s="27"/>
      <c r="Q209" s="28"/>
      <c r="R209" s="33"/>
      <c r="S209" s="21"/>
      <c r="T209" s="20"/>
      <c r="U209" s="26"/>
      <c r="V209" s="7"/>
      <c r="W209" s="8"/>
      <c r="X209" s="29">
        <f t="shared" ref="X209:X210" ca="1" si="50">INT((TODAY()-M209)/365)</f>
        <v>126</v>
      </c>
      <c r="Y209" s="8"/>
      <c r="Z209" s="8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 spans="1:39" ht="15.75" customHeight="1">
      <c r="A210" s="62">
        <v>55</v>
      </c>
      <c r="B210" s="24"/>
      <c r="C210" s="30"/>
      <c r="D210" s="108"/>
      <c r="E210" s="13"/>
      <c r="F210" s="26"/>
      <c r="G210" s="13"/>
      <c r="H210" s="18"/>
      <c r="I210" s="30"/>
      <c r="J210" s="18"/>
      <c r="K210" s="18"/>
      <c r="L210" s="18"/>
      <c r="M210" s="64"/>
      <c r="N210" s="64"/>
      <c r="O210" s="27"/>
      <c r="P210" s="27"/>
      <c r="Q210" s="27"/>
      <c r="R210" s="33"/>
      <c r="S210" s="33"/>
      <c r="T210" s="33"/>
      <c r="U210" s="33"/>
      <c r="V210" s="67"/>
      <c r="W210" s="40"/>
      <c r="X210" s="29">
        <f t="shared" ca="1" si="50"/>
        <v>126</v>
      </c>
      <c r="Y210" s="8"/>
      <c r="Z210" s="8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</row>
    <row r="211" spans="1:39" ht="15.75" customHeight="1">
      <c r="A211" s="62">
        <v>57</v>
      </c>
      <c r="B211" s="39"/>
      <c r="C211" s="18"/>
      <c r="D211" s="47"/>
      <c r="E211" s="68"/>
      <c r="F211" s="26"/>
      <c r="G211" s="18"/>
      <c r="H211" s="30"/>
      <c r="I211" s="18"/>
      <c r="J211" s="18"/>
      <c r="K211" s="18"/>
      <c r="L211" s="18"/>
      <c r="M211" s="27"/>
      <c r="N211" s="27"/>
      <c r="O211" s="27"/>
      <c r="P211" s="27"/>
      <c r="Q211" s="27"/>
      <c r="R211" s="7"/>
      <c r="S211" s="7"/>
      <c r="T211" s="7"/>
      <c r="U211" s="7"/>
      <c r="V211" s="8"/>
      <c r="W211" s="29"/>
      <c r="X211" s="8"/>
      <c r="Y211" s="8"/>
      <c r="Z211" s="8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 spans="1:39" ht="15.75" customHeight="1">
      <c r="A212" s="62">
        <v>59</v>
      </c>
      <c r="B212" s="39"/>
      <c r="C212" s="18"/>
      <c r="D212" s="25"/>
      <c r="E212" s="13"/>
      <c r="F212" s="26"/>
      <c r="G212" s="13"/>
      <c r="H212" s="18"/>
      <c r="I212" s="18"/>
      <c r="J212" s="30"/>
      <c r="K212" s="18"/>
      <c r="L212" s="18"/>
      <c r="M212" s="27"/>
      <c r="N212" s="27"/>
      <c r="O212" s="27"/>
      <c r="P212" s="27"/>
      <c r="Q212" s="27"/>
      <c r="R212" s="7"/>
      <c r="S212" s="26"/>
      <c r="T212" s="7"/>
      <c r="U212" s="23"/>
      <c r="V212" s="8"/>
      <c r="W212" s="8"/>
      <c r="X212" s="29">
        <f t="shared" ref="X212:X221" ca="1" si="51">INT((TODAY()-M212)/365)</f>
        <v>126</v>
      </c>
      <c r="Y212" s="8"/>
      <c r="Z212" s="8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spans="1:39" ht="15.75" customHeight="1">
      <c r="A213" s="62">
        <v>60</v>
      </c>
      <c r="B213" s="39"/>
      <c r="C213" s="18"/>
      <c r="D213" s="47"/>
      <c r="E213" s="68"/>
      <c r="F213" s="26"/>
      <c r="G213" s="13"/>
      <c r="H213" s="18"/>
      <c r="I213" s="18"/>
      <c r="J213" s="18"/>
      <c r="K213" s="18"/>
      <c r="L213" s="18"/>
      <c r="M213" s="27"/>
      <c r="N213" s="27"/>
      <c r="O213" s="27"/>
      <c r="P213" s="27"/>
      <c r="Q213" s="28"/>
      <c r="R213" s="33"/>
      <c r="S213" s="7"/>
      <c r="T213" s="7"/>
      <c r="U213" s="23"/>
      <c r="V213" s="8"/>
      <c r="W213" s="8"/>
      <c r="X213" s="29">
        <f t="shared" ca="1" si="51"/>
        <v>126</v>
      </c>
      <c r="Y213" s="8"/>
      <c r="Z213" s="8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 spans="1:39" ht="15.75" customHeight="1">
      <c r="A214" s="62">
        <v>61</v>
      </c>
      <c r="B214" s="39"/>
      <c r="C214" s="18"/>
      <c r="D214" s="36"/>
      <c r="E214" s="18"/>
      <c r="F214" s="26"/>
      <c r="G214" s="18"/>
      <c r="H214" s="18"/>
      <c r="I214" s="18"/>
      <c r="J214" s="18"/>
      <c r="K214" s="18"/>
      <c r="L214" s="18"/>
      <c r="M214" s="27"/>
      <c r="N214" s="27"/>
      <c r="O214" s="27"/>
      <c r="P214" s="27"/>
      <c r="Q214" s="28"/>
      <c r="R214" s="38"/>
      <c r="S214" s="7"/>
      <c r="T214" s="7"/>
      <c r="U214" s="7"/>
      <c r="V214" s="8"/>
      <c r="W214" s="8"/>
      <c r="X214" s="29">
        <f t="shared" ca="1" si="51"/>
        <v>126</v>
      </c>
      <c r="Y214" s="8"/>
      <c r="Z214" s="8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</row>
    <row r="215" spans="1:39" ht="15.75" customHeight="1">
      <c r="A215" s="62">
        <v>62</v>
      </c>
      <c r="B215" s="24"/>
      <c r="C215" s="18"/>
      <c r="D215" s="36"/>
      <c r="E215" s="58"/>
      <c r="F215" s="26"/>
      <c r="G215" s="13"/>
      <c r="H215" s="13"/>
      <c r="I215" s="30"/>
      <c r="J215" s="30"/>
      <c r="K215" s="18"/>
      <c r="L215" s="18"/>
      <c r="M215" s="27"/>
      <c r="N215" s="64"/>
      <c r="O215" s="27"/>
      <c r="P215" s="27"/>
      <c r="Q215" s="28"/>
      <c r="R215" s="33"/>
      <c r="S215" s="33"/>
      <c r="T215" s="33"/>
      <c r="U215" s="33"/>
      <c r="V215" s="67"/>
      <c r="W215" s="40"/>
      <c r="X215" s="29">
        <f t="shared" ca="1" si="51"/>
        <v>126</v>
      </c>
      <c r="Y215" s="22"/>
      <c r="Z215" s="23"/>
    </row>
    <row r="216" spans="1:39" ht="15.75" customHeight="1">
      <c r="A216" s="62">
        <v>63</v>
      </c>
      <c r="B216" s="39"/>
      <c r="C216" s="18"/>
      <c r="D216" s="47"/>
      <c r="E216" s="13"/>
      <c r="F216" s="26"/>
      <c r="G216" s="13"/>
      <c r="H216" s="18"/>
      <c r="I216" s="18"/>
      <c r="J216" s="30"/>
      <c r="K216" s="18"/>
      <c r="L216" s="18"/>
      <c r="M216" s="27"/>
      <c r="N216" s="27"/>
      <c r="O216" s="27"/>
      <c r="P216" s="27"/>
      <c r="Q216" s="28"/>
      <c r="R216" s="33"/>
      <c r="S216" s="7"/>
      <c r="T216" s="7"/>
      <c r="U216" s="7"/>
      <c r="V216" s="8"/>
      <c r="W216" s="8"/>
      <c r="X216" s="29">
        <f t="shared" ca="1" si="51"/>
        <v>126</v>
      </c>
      <c r="Y216" s="40"/>
      <c r="Z216" s="23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</row>
    <row r="217" spans="1:39" ht="15.75" customHeight="1">
      <c r="A217" s="62">
        <v>64</v>
      </c>
      <c r="B217" s="82"/>
      <c r="C217" s="18"/>
      <c r="D217" s="47"/>
      <c r="E217" s="22"/>
      <c r="F217" s="26"/>
      <c r="G217" s="4"/>
      <c r="H217" s="18"/>
      <c r="I217" s="18"/>
      <c r="J217" s="40"/>
      <c r="K217" s="18"/>
      <c r="L217" s="18"/>
      <c r="M217" s="27"/>
      <c r="N217" s="27"/>
      <c r="O217" s="27"/>
      <c r="P217" s="27"/>
      <c r="Q217" s="173"/>
      <c r="R217" s="21"/>
      <c r="S217" s="7"/>
      <c r="T217" s="21"/>
      <c r="U217" s="7"/>
      <c r="V217" s="174"/>
      <c r="W217" s="7"/>
      <c r="X217" s="29">
        <f t="shared" ca="1" si="51"/>
        <v>126</v>
      </c>
      <c r="Y217" s="8"/>
      <c r="Z217" s="8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 spans="1:39" ht="15.75" customHeight="1">
      <c r="A218" s="62">
        <v>65</v>
      </c>
      <c r="B218" s="43"/>
      <c r="C218" s="18"/>
      <c r="D218" s="14"/>
      <c r="E218" s="58"/>
      <c r="F218" s="26"/>
      <c r="G218" s="16"/>
      <c r="H218" s="18"/>
      <c r="I218" s="13"/>
      <c r="J218" s="17"/>
      <c r="K218" s="18"/>
      <c r="L218" s="13"/>
      <c r="M218" s="19"/>
      <c r="N218" s="19"/>
      <c r="O218" s="19"/>
      <c r="P218" s="19"/>
      <c r="Q218" s="28"/>
      <c r="R218" s="26"/>
      <c r="S218" s="20"/>
      <c r="T218" s="20"/>
      <c r="U218" s="20"/>
      <c r="V218" s="20"/>
      <c r="W218" s="22"/>
      <c r="X218" s="29">
        <f t="shared" ca="1" si="51"/>
        <v>126</v>
      </c>
      <c r="Y218" s="22"/>
      <c r="Z218" s="23"/>
    </row>
    <row r="219" spans="1:39" ht="15.75" customHeight="1">
      <c r="A219" s="62">
        <v>66</v>
      </c>
      <c r="B219" s="43"/>
      <c r="C219" s="18"/>
      <c r="D219" s="35"/>
      <c r="E219" s="22"/>
      <c r="F219" s="26"/>
      <c r="G219" s="16"/>
      <c r="H219" s="18"/>
      <c r="I219" s="13"/>
      <c r="J219" s="17"/>
      <c r="K219" s="18"/>
      <c r="L219" s="13"/>
      <c r="M219" s="19"/>
      <c r="N219" s="19"/>
      <c r="O219" s="19"/>
      <c r="P219" s="19"/>
      <c r="Q219" s="28"/>
      <c r="R219" s="20"/>
      <c r="S219" s="20"/>
      <c r="T219" s="20"/>
      <c r="U219" s="20"/>
      <c r="V219" s="20"/>
      <c r="W219" s="22"/>
      <c r="X219" s="29">
        <f t="shared" ca="1" si="51"/>
        <v>126</v>
      </c>
      <c r="Y219" s="8"/>
      <c r="Z219" s="8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 spans="1:39" ht="15.75" customHeight="1">
      <c r="A220" s="62">
        <v>67</v>
      </c>
      <c r="B220" s="43"/>
      <c r="C220" s="18"/>
      <c r="D220" s="35"/>
      <c r="E220" s="58"/>
      <c r="F220" s="26"/>
      <c r="G220" s="16"/>
      <c r="H220" s="18"/>
      <c r="I220" s="13"/>
      <c r="J220" s="17"/>
      <c r="K220" s="18"/>
      <c r="L220" s="18"/>
      <c r="M220" s="19"/>
      <c r="N220" s="19"/>
      <c r="O220" s="19"/>
      <c r="P220" s="19"/>
      <c r="Q220" s="28"/>
      <c r="R220" s="20"/>
      <c r="S220" s="20"/>
      <c r="T220" s="20"/>
      <c r="U220" s="20"/>
      <c r="V220" s="20"/>
      <c r="W220" s="22"/>
      <c r="X220" s="29">
        <f t="shared" ca="1" si="51"/>
        <v>126</v>
      </c>
      <c r="Y220" s="8"/>
      <c r="Z220" s="8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</row>
    <row r="221" spans="1:39" ht="15.75" customHeight="1">
      <c r="A221" s="62">
        <v>68</v>
      </c>
      <c r="B221" s="43"/>
      <c r="C221" s="18"/>
      <c r="D221" s="35"/>
      <c r="E221" s="58"/>
      <c r="F221" s="26"/>
      <c r="G221" s="16"/>
      <c r="H221" s="18"/>
      <c r="I221" s="13"/>
      <c r="J221" s="13"/>
      <c r="K221" s="18"/>
      <c r="L221" s="18"/>
      <c r="M221" s="19"/>
      <c r="N221" s="19"/>
      <c r="O221" s="19"/>
      <c r="P221" s="19"/>
      <c r="Q221" s="28"/>
      <c r="R221" s="20"/>
      <c r="S221" s="20"/>
      <c r="T221" s="20"/>
      <c r="U221" s="20"/>
      <c r="V221" s="20"/>
      <c r="W221" s="22"/>
      <c r="X221" s="29">
        <f t="shared" ca="1" si="51"/>
        <v>126</v>
      </c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9"/>
      <c r="AJ221" s="9"/>
      <c r="AK221" s="9"/>
      <c r="AL221" s="9"/>
      <c r="AM221" s="9"/>
    </row>
    <row r="222" spans="1:39" ht="15.75" customHeight="1">
      <c r="A222" s="62">
        <v>69</v>
      </c>
      <c r="B222" s="39"/>
      <c r="C222" s="18"/>
      <c r="D222" s="36"/>
      <c r="E222" s="68"/>
      <c r="F222" s="37"/>
      <c r="G222" s="13"/>
      <c r="H222" s="18"/>
      <c r="I222" s="18"/>
      <c r="J222" s="18"/>
      <c r="K222" s="22"/>
      <c r="L222" s="18"/>
      <c r="M222" s="27"/>
      <c r="N222" s="27"/>
      <c r="O222" s="27"/>
      <c r="P222" s="27"/>
      <c r="Q222" s="28"/>
      <c r="R222" s="7"/>
      <c r="S222" s="7"/>
      <c r="T222" s="7"/>
      <c r="U222" s="7"/>
      <c r="V222" s="7"/>
      <c r="W222" s="29"/>
      <c r="X222" s="8"/>
      <c r="Y222" s="8"/>
      <c r="Z222" s="8"/>
      <c r="AA222" s="9"/>
      <c r="AB222" s="9"/>
      <c r="AC222" s="9"/>
      <c r="AD222" s="9"/>
    </row>
    <row r="223" spans="1:39" ht="15.75" customHeight="1">
      <c r="A223" s="98">
        <v>1</v>
      </c>
      <c r="B223" s="43"/>
      <c r="C223" s="13"/>
      <c r="D223" s="14"/>
      <c r="E223" s="116"/>
      <c r="F223" s="82"/>
      <c r="G223" s="16"/>
      <c r="H223" s="13"/>
      <c r="I223" s="13"/>
      <c r="J223" s="13"/>
      <c r="K223" s="18"/>
      <c r="L223" s="18"/>
      <c r="M223" s="19"/>
      <c r="N223" s="19"/>
      <c r="O223" s="19"/>
      <c r="P223" s="27"/>
      <c r="Q223" s="27"/>
      <c r="R223" s="20"/>
      <c r="S223" s="20"/>
      <c r="T223" s="20"/>
      <c r="U223" s="20"/>
      <c r="V223" s="20"/>
      <c r="W223" s="22"/>
      <c r="X223" s="22"/>
      <c r="Y223" s="22"/>
      <c r="Z223" s="23"/>
      <c r="AB223" s="9"/>
    </row>
    <row r="224" spans="1:39" ht="15.75" customHeight="1">
      <c r="A224" s="98">
        <v>2</v>
      </c>
      <c r="B224" s="175"/>
      <c r="C224" s="22"/>
      <c r="D224" s="99"/>
      <c r="E224" s="22"/>
      <c r="F224" s="37"/>
      <c r="G224" s="22"/>
      <c r="H224" s="18"/>
      <c r="I224" s="90"/>
      <c r="J224" s="48"/>
      <c r="K224" s="18"/>
      <c r="L224" s="22"/>
      <c r="M224" s="6"/>
      <c r="N224" s="6"/>
      <c r="O224" s="75"/>
      <c r="P224" s="27"/>
      <c r="Q224" s="27"/>
      <c r="R224" s="26"/>
      <c r="S224" s="26"/>
      <c r="T224" s="26"/>
      <c r="U224" s="26"/>
      <c r="V224" s="23"/>
      <c r="W224" s="23"/>
      <c r="X224" s="29">
        <f ca="1">INT((TODAY()-M224)/365)</f>
        <v>126</v>
      </c>
      <c r="Y224" s="8"/>
      <c r="Z224" s="8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</row>
    <row r="225" spans="1:39" ht="15.75" customHeight="1">
      <c r="A225" s="98">
        <v>3</v>
      </c>
      <c r="B225" s="175"/>
      <c r="C225" s="22"/>
      <c r="D225" s="99"/>
      <c r="E225" s="22"/>
      <c r="F225" s="103"/>
      <c r="G225" s="22"/>
      <c r="H225" s="18"/>
      <c r="I225" s="22"/>
      <c r="J225" s="48"/>
      <c r="K225" s="18"/>
      <c r="L225" s="18"/>
      <c r="M225" s="6"/>
      <c r="N225" s="6"/>
      <c r="O225" s="100"/>
      <c r="P225" s="6"/>
      <c r="Q225" s="6"/>
      <c r="R225" s="26"/>
      <c r="S225" s="26"/>
      <c r="T225" s="23"/>
      <c r="U225" s="26"/>
      <c r="V225" s="26"/>
      <c r="W225" s="29"/>
      <c r="X225" s="23"/>
      <c r="Y225" s="23"/>
      <c r="Z225" s="23"/>
    </row>
    <row r="226" spans="1:39" ht="15.75" customHeight="1">
      <c r="A226" s="98">
        <v>4</v>
      </c>
      <c r="B226" s="175"/>
      <c r="C226" s="22"/>
      <c r="D226" s="176"/>
      <c r="E226" s="22"/>
      <c r="F226" s="26"/>
      <c r="G226" s="22"/>
      <c r="H226" s="18"/>
      <c r="I226" s="22"/>
      <c r="J226" s="48"/>
      <c r="K226" s="18"/>
      <c r="L226" s="18"/>
      <c r="M226" s="6"/>
      <c r="N226" s="6"/>
      <c r="O226" s="100"/>
      <c r="P226" s="27"/>
      <c r="Q226" s="6"/>
      <c r="R226" s="26"/>
      <c r="S226" s="26"/>
      <c r="T226" s="26"/>
      <c r="U226" s="26"/>
      <c r="V226" s="26"/>
      <c r="W226" s="23"/>
      <c r="X226" s="29">
        <f ca="1">INT((TODAY()-M226)/365)</f>
        <v>126</v>
      </c>
      <c r="Y226" s="23"/>
      <c r="Z226" s="23"/>
    </row>
    <row r="227" spans="1:39" ht="15.75" customHeight="1">
      <c r="A227" s="98">
        <v>5</v>
      </c>
      <c r="B227" s="175"/>
      <c r="C227" s="22"/>
      <c r="D227" s="99"/>
      <c r="E227" s="116"/>
      <c r="F227" s="103"/>
      <c r="G227" s="22"/>
      <c r="H227" s="18"/>
      <c r="I227" s="22"/>
      <c r="J227" s="48"/>
      <c r="K227" s="18"/>
      <c r="L227" s="22"/>
      <c r="M227" s="6"/>
      <c r="N227" s="6"/>
      <c r="O227" s="100"/>
      <c r="P227" s="27"/>
      <c r="Q227" s="6"/>
      <c r="R227" s="26"/>
      <c r="S227" s="26"/>
      <c r="T227" s="26"/>
      <c r="U227" s="26"/>
      <c r="V227" s="26"/>
      <c r="W227" s="29"/>
      <c r="X227" s="23"/>
      <c r="Y227" s="23"/>
      <c r="Z227" s="23"/>
    </row>
    <row r="228" spans="1:39" ht="15.75" customHeight="1">
      <c r="A228" s="98">
        <v>6</v>
      </c>
      <c r="B228" s="24"/>
      <c r="C228" s="18"/>
      <c r="D228" s="93"/>
      <c r="E228" s="18"/>
      <c r="F228" s="37"/>
      <c r="G228" s="18"/>
      <c r="H228" s="18"/>
      <c r="I228" s="18"/>
      <c r="J228" s="18"/>
      <c r="K228" s="18"/>
      <c r="L228" s="18"/>
      <c r="M228" s="27"/>
      <c r="N228" s="27"/>
      <c r="O228" s="75"/>
      <c r="P228" s="27"/>
      <c r="Q228" s="65"/>
      <c r="R228" s="26"/>
      <c r="S228" s="26"/>
      <c r="T228" s="23"/>
      <c r="U228" s="23"/>
      <c r="V228" s="92"/>
      <c r="W228" s="92"/>
      <c r="X228" s="92"/>
      <c r="Y228" s="8"/>
      <c r="Z228" s="8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 spans="1:39" ht="15.75" customHeight="1">
      <c r="A229" s="98">
        <v>7</v>
      </c>
      <c r="B229" s="177"/>
      <c r="C229" s="22"/>
      <c r="D229" s="178"/>
      <c r="E229" s="116"/>
      <c r="F229" s="82"/>
      <c r="G229" s="16"/>
      <c r="H229" s="13"/>
      <c r="I229" s="13"/>
      <c r="J229" s="13"/>
      <c r="K229" s="18"/>
      <c r="L229" s="13"/>
      <c r="M229" s="19"/>
      <c r="N229" s="19"/>
      <c r="O229" s="19"/>
      <c r="P229" s="27"/>
      <c r="Q229" s="27"/>
      <c r="R229" s="20"/>
      <c r="S229" s="20"/>
      <c r="T229" s="20"/>
      <c r="U229" s="20"/>
      <c r="V229" s="20"/>
      <c r="W229" s="22"/>
      <c r="X229" s="22"/>
      <c r="Y229" s="22"/>
      <c r="Z229" s="23"/>
      <c r="AB229" s="9"/>
    </row>
    <row r="230" spans="1:39" ht="15.75" customHeight="1">
      <c r="A230" s="98">
        <v>8</v>
      </c>
      <c r="B230" s="175"/>
      <c r="C230" s="22"/>
      <c r="D230" s="99"/>
      <c r="E230" s="22"/>
      <c r="F230" s="37"/>
      <c r="G230" s="22"/>
      <c r="H230" s="18"/>
      <c r="I230" s="90"/>
      <c r="J230" s="48"/>
      <c r="K230" s="18"/>
      <c r="L230" s="22"/>
      <c r="M230" s="27"/>
      <c r="N230" s="27"/>
      <c r="O230" s="100"/>
      <c r="P230" s="19"/>
      <c r="Q230" s="6"/>
      <c r="R230" s="179"/>
      <c r="S230" s="26"/>
      <c r="T230" s="23"/>
      <c r="U230" s="23"/>
      <c r="V230" s="92"/>
      <c r="W230" s="92"/>
      <c r="X230" s="92"/>
      <c r="Y230" s="8"/>
      <c r="Z230" s="8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 spans="1:39" ht="15.75" customHeight="1">
      <c r="A231" s="98">
        <v>9</v>
      </c>
      <c r="B231" s="24"/>
      <c r="C231" s="18"/>
      <c r="D231" s="93"/>
      <c r="E231" s="18"/>
      <c r="F231" s="37"/>
      <c r="G231" s="18"/>
      <c r="H231" s="18"/>
      <c r="I231" s="18"/>
      <c r="J231" s="30"/>
      <c r="K231" s="18"/>
      <c r="L231" s="18"/>
      <c r="M231" s="94"/>
      <c r="N231" s="27"/>
      <c r="O231" s="95"/>
      <c r="P231" s="27"/>
      <c r="Q231" s="65"/>
      <c r="R231" s="180"/>
      <c r="S231" s="26"/>
      <c r="T231" s="23"/>
      <c r="U231" s="23"/>
      <c r="V231" s="92"/>
      <c r="W231" s="92"/>
      <c r="X231" s="92"/>
      <c r="Y231" s="8"/>
      <c r="Z231" s="8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 spans="1:39" ht="15.75" customHeight="1">
      <c r="A232" s="98">
        <v>10</v>
      </c>
      <c r="B232" s="177"/>
      <c r="C232" s="22"/>
      <c r="D232" s="178"/>
      <c r="E232" s="116"/>
      <c r="F232" s="82"/>
      <c r="G232" s="16"/>
      <c r="H232" s="13"/>
      <c r="I232" s="13"/>
      <c r="J232" s="13"/>
      <c r="K232" s="18"/>
      <c r="L232" s="13"/>
      <c r="M232" s="19"/>
      <c r="N232" s="19"/>
      <c r="O232" s="19"/>
      <c r="P232" s="27"/>
      <c r="Q232" s="27"/>
      <c r="R232" s="20"/>
      <c r="S232" s="20"/>
      <c r="T232" s="20"/>
      <c r="U232" s="20"/>
      <c r="V232" s="20"/>
      <c r="W232" s="22"/>
      <c r="X232" s="22"/>
      <c r="Y232" s="22"/>
      <c r="Z232" s="23"/>
      <c r="AB232" s="9"/>
    </row>
    <row r="233" spans="1:39" ht="15.75" customHeight="1">
      <c r="A233" s="98">
        <v>11</v>
      </c>
      <c r="B233" s="175"/>
      <c r="C233" s="22"/>
      <c r="D233" s="99"/>
      <c r="E233" s="22"/>
      <c r="F233" s="103"/>
      <c r="G233" s="22"/>
      <c r="H233" s="18"/>
      <c r="I233" s="22"/>
      <c r="J233" s="48"/>
      <c r="K233" s="18"/>
      <c r="L233" s="18"/>
      <c r="M233" s="6"/>
      <c r="N233" s="6"/>
      <c r="O233" s="100"/>
      <c r="P233" s="27"/>
      <c r="Q233" s="6"/>
      <c r="R233" s="26"/>
      <c r="S233" s="26"/>
      <c r="T233" s="26"/>
      <c r="U233" s="26"/>
      <c r="V233" s="26"/>
      <c r="W233" s="29"/>
      <c r="X233" s="23"/>
      <c r="Y233" s="23"/>
      <c r="Z233" s="23"/>
    </row>
    <row r="234" spans="1:39" ht="15.75" customHeight="1">
      <c r="A234" s="98">
        <v>12</v>
      </c>
      <c r="B234" s="175"/>
      <c r="C234" s="22"/>
      <c r="D234" s="99"/>
      <c r="E234" s="22"/>
      <c r="F234" s="37"/>
      <c r="G234" s="22"/>
      <c r="H234" s="18"/>
      <c r="I234" s="90"/>
      <c r="J234" s="48"/>
      <c r="K234" s="18"/>
      <c r="L234" s="22"/>
      <c r="M234" s="27"/>
      <c r="N234" s="27"/>
      <c r="O234" s="100"/>
      <c r="P234" s="6"/>
      <c r="Q234" s="6"/>
      <c r="R234" s="26"/>
      <c r="S234" s="26"/>
      <c r="T234" s="23"/>
      <c r="U234" s="23"/>
      <c r="V234" s="92"/>
      <c r="W234" s="92"/>
      <c r="X234" s="92"/>
      <c r="Y234" s="8"/>
      <c r="Z234" s="8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</row>
    <row r="235" spans="1:39" ht="15.75" customHeight="1">
      <c r="A235" s="98">
        <v>13</v>
      </c>
      <c r="B235" s="24"/>
      <c r="C235" s="18"/>
      <c r="D235" s="93"/>
      <c r="E235" s="18"/>
      <c r="F235" s="37"/>
      <c r="G235" s="18"/>
      <c r="H235" s="18"/>
      <c r="I235" s="18"/>
      <c r="J235" s="18"/>
      <c r="K235" s="18"/>
      <c r="L235" s="18"/>
      <c r="M235" s="27"/>
      <c r="N235" s="27"/>
      <c r="O235" s="75"/>
      <c r="P235" s="27"/>
      <c r="Q235" s="65"/>
      <c r="R235" s="26"/>
      <c r="S235" s="26"/>
      <c r="T235" s="23"/>
      <c r="U235" s="23"/>
      <c r="V235" s="23"/>
      <c r="W235" s="92"/>
      <c r="X235" s="92"/>
      <c r="Y235" s="23"/>
      <c r="Z235" s="23"/>
    </row>
    <row r="236" spans="1:39" ht="15.75" customHeight="1">
      <c r="A236" s="98">
        <v>14</v>
      </c>
      <c r="B236" s="175"/>
      <c r="C236" s="22"/>
      <c r="D236" s="99"/>
      <c r="E236" s="22"/>
      <c r="F236" s="26"/>
      <c r="G236" s="22"/>
      <c r="H236" s="18"/>
      <c r="I236" s="22"/>
      <c r="J236" s="48"/>
      <c r="K236" s="18"/>
      <c r="L236" s="18"/>
      <c r="M236" s="6"/>
      <c r="N236" s="6"/>
      <c r="O236" s="100"/>
      <c r="P236" s="6"/>
      <c r="Q236" s="6"/>
      <c r="R236" s="26"/>
      <c r="S236" s="26"/>
      <c r="T236" s="26"/>
      <c r="U236" s="26"/>
      <c r="V236" s="26"/>
      <c r="W236" s="23"/>
      <c r="X236" s="29">
        <f t="shared" ref="X236:X237" ca="1" si="52">INT((TODAY()-M236)/365)</f>
        <v>126</v>
      </c>
      <c r="Y236" s="23"/>
      <c r="Z236" s="23"/>
    </row>
    <row r="237" spans="1:39" ht="15.75" customHeight="1">
      <c r="A237" s="98">
        <v>15</v>
      </c>
      <c r="B237" s="175"/>
      <c r="C237" s="22"/>
      <c r="D237" s="99"/>
      <c r="E237" s="22"/>
      <c r="F237" s="26"/>
      <c r="G237" s="22"/>
      <c r="H237" s="18"/>
      <c r="I237" s="22"/>
      <c r="J237" s="48"/>
      <c r="K237" s="18"/>
      <c r="L237" s="22"/>
      <c r="M237" s="6"/>
      <c r="N237" s="6"/>
      <c r="O237" s="100"/>
      <c r="P237" s="6"/>
      <c r="Q237" s="6"/>
      <c r="R237" s="26"/>
      <c r="S237" s="26"/>
      <c r="T237" s="26"/>
      <c r="U237" s="26"/>
      <c r="V237" s="26"/>
      <c r="W237" s="23"/>
      <c r="X237" s="29">
        <f t="shared" ca="1" si="52"/>
        <v>126</v>
      </c>
      <c r="Y237" s="23"/>
      <c r="Z237" s="23"/>
    </row>
    <row r="238" spans="1:39" ht="15.75" customHeight="1">
      <c r="A238" s="98">
        <v>16</v>
      </c>
      <c r="B238" s="43"/>
      <c r="C238" s="13"/>
      <c r="D238" s="14"/>
      <c r="E238" s="116"/>
      <c r="F238" s="82"/>
      <c r="G238" s="16"/>
      <c r="H238" s="13"/>
      <c r="I238" s="13"/>
      <c r="J238" s="13"/>
      <c r="K238" s="18"/>
      <c r="L238" s="13"/>
      <c r="M238" s="19"/>
      <c r="N238" s="19"/>
      <c r="O238" s="19"/>
      <c r="P238" s="27"/>
      <c r="Q238" s="27"/>
      <c r="R238" s="20"/>
      <c r="S238" s="20"/>
      <c r="T238" s="20"/>
      <c r="U238" s="20"/>
      <c r="V238" s="20"/>
      <c r="W238" s="22"/>
      <c r="X238" s="22"/>
      <c r="Y238" s="22"/>
      <c r="Z238" s="23"/>
      <c r="AB238" s="9"/>
    </row>
    <row r="239" spans="1:39" ht="15.75" customHeight="1">
      <c r="A239" s="98">
        <v>17</v>
      </c>
      <c r="B239" s="175"/>
      <c r="C239" s="22"/>
      <c r="D239" s="99"/>
      <c r="E239" s="22"/>
      <c r="F239" s="169"/>
      <c r="G239" s="22"/>
      <c r="H239" s="18"/>
      <c r="I239" s="22"/>
      <c r="J239" s="48"/>
      <c r="K239" s="18"/>
      <c r="L239" s="13"/>
      <c r="M239" s="6"/>
      <c r="N239" s="6"/>
      <c r="O239" s="100"/>
      <c r="P239" s="6"/>
      <c r="Q239" s="6"/>
      <c r="R239" s="26"/>
      <c r="S239" s="26"/>
      <c r="T239" s="26"/>
      <c r="U239" s="26"/>
      <c r="V239" s="26"/>
      <c r="W239" s="23"/>
      <c r="X239" s="29">
        <f t="shared" ref="X239:X240" ca="1" si="53">INT((TODAY()-M239)/365)</f>
        <v>126</v>
      </c>
      <c r="Y239" s="23"/>
      <c r="Z239" s="23"/>
    </row>
    <row r="240" spans="1:39" ht="15.75" customHeight="1">
      <c r="A240" s="98">
        <v>18</v>
      </c>
      <c r="B240" s="175"/>
      <c r="C240" s="22"/>
      <c r="D240" s="99"/>
      <c r="E240" s="22"/>
      <c r="F240" s="169"/>
      <c r="G240" s="22"/>
      <c r="H240" s="18"/>
      <c r="I240" s="22"/>
      <c r="J240" s="48"/>
      <c r="K240" s="18"/>
      <c r="L240" s="18"/>
      <c r="M240" s="6"/>
      <c r="N240" s="6"/>
      <c r="O240" s="100"/>
      <c r="P240" s="6"/>
      <c r="Q240" s="6"/>
      <c r="R240" s="26"/>
      <c r="S240" s="26"/>
      <c r="T240" s="26"/>
      <c r="U240" s="26"/>
      <c r="V240" s="26"/>
      <c r="W240" s="23"/>
      <c r="X240" s="29">
        <f t="shared" ca="1" si="53"/>
        <v>126</v>
      </c>
      <c r="Y240" s="23"/>
      <c r="Z240" s="23"/>
    </row>
    <row r="241" spans="1:39" ht="15.75" customHeight="1">
      <c r="A241" s="98">
        <v>19</v>
      </c>
      <c r="B241" s="175"/>
      <c r="C241" s="22"/>
      <c r="D241" s="99"/>
      <c r="E241" s="22"/>
      <c r="F241" s="103"/>
      <c r="G241" s="22"/>
      <c r="H241" s="18"/>
      <c r="I241" s="22"/>
      <c r="J241" s="18"/>
      <c r="K241" s="18"/>
      <c r="L241" s="22"/>
      <c r="M241" s="6"/>
      <c r="N241" s="6"/>
      <c r="O241" s="100"/>
      <c r="P241" s="6"/>
      <c r="Q241" s="6"/>
      <c r="R241" s="26"/>
      <c r="S241" s="26"/>
      <c r="T241" s="23"/>
      <c r="U241" s="26"/>
      <c r="V241" s="26"/>
      <c r="W241" s="29"/>
      <c r="X241" s="23"/>
      <c r="Y241" s="23"/>
      <c r="Z241" s="23"/>
    </row>
    <row r="242" spans="1:39" ht="15.75" customHeight="1">
      <c r="A242" s="98">
        <v>20</v>
      </c>
      <c r="B242" s="43"/>
      <c r="C242" s="13"/>
      <c r="D242" s="14"/>
      <c r="E242" s="116"/>
      <c r="F242" s="82"/>
      <c r="G242" s="16"/>
      <c r="H242" s="13"/>
      <c r="I242" s="13"/>
      <c r="J242" s="13"/>
      <c r="K242" s="18"/>
      <c r="L242" s="13"/>
      <c r="M242" s="19"/>
      <c r="N242" s="19"/>
      <c r="O242" s="19"/>
      <c r="P242" s="27"/>
      <c r="Q242" s="27"/>
      <c r="R242" s="20"/>
      <c r="S242" s="20"/>
      <c r="T242" s="20"/>
      <c r="U242" s="20"/>
      <c r="V242" s="20"/>
      <c r="W242" s="22"/>
      <c r="X242" s="22"/>
      <c r="Y242" s="22"/>
      <c r="Z242" s="23"/>
      <c r="AB242" s="9"/>
    </row>
    <row r="243" spans="1:39" ht="15.75" customHeight="1">
      <c r="A243" s="98">
        <v>21</v>
      </c>
      <c r="B243" s="43"/>
      <c r="C243" s="13"/>
      <c r="D243" s="176"/>
      <c r="E243" s="116"/>
      <c r="F243" s="82"/>
      <c r="G243" s="16"/>
      <c r="H243" s="13"/>
      <c r="I243" s="13"/>
      <c r="J243" s="13"/>
      <c r="K243" s="18"/>
      <c r="L243" s="18"/>
      <c r="M243" s="19"/>
      <c r="N243" s="19"/>
      <c r="O243" s="19"/>
      <c r="P243" s="27"/>
      <c r="Q243" s="27"/>
      <c r="R243" s="20"/>
      <c r="S243" s="20"/>
      <c r="T243" s="20"/>
      <c r="U243" s="20"/>
      <c r="V243" s="20"/>
      <c r="W243" s="22"/>
      <c r="X243" s="22"/>
      <c r="Y243" s="22"/>
      <c r="Z243" s="23"/>
      <c r="AB243" s="9"/>
    </row>
    <row r="244" spans="1:39" ht="15.75" customHeight="1">
      <c r="A244" s="98">
        <v>22</v>
      </c>
      <c r="B244" s="175"/>
      <c r="C244" s="22"/>
      <c r="D244" s="181"/>
      <c r="E244" s="22"/>
      <c r="F244" s="169"/>
      <c r="G244" s="22"/>
      <c r="H244" s="18"/>
      <c r="I244" s="22"/>
      <c r="J244" s="48"/>
      <c r="K244" s="18"/>
      <c r="L244" s="22"/>
      <c r="M244" s="6"/>
      <c r="N244" s="6"/>
      <c r="O244" s="100"/>
      <c r="P244" s="6"/>
      <c r="Q244" s="6"/>
      <c r="R244" s="26"/>
      <c r="S244" s="26"/>
      <c r="T244" s="26"/>
      <c r="U244" s="26"/>
      <c r="V244" s="26"/>
      <c r="W244" s="23"/>
      <c r="X244" s="29">
        <f ca="1">INT((TODAY()-M244)/365)</f>
        <v>126</v>
      </c>
      <c r="Y244" s="23"/>
      <c r="Z244" s="23"/>
    </row>
    <row r="245" spans="1:39" ht="15.75" customHeight="1">
      <c r="A245" s="98">
        <v>23</v>
      </c>
      <c r="B245" s="43"/>
      <c r="C245" s="13"/>
      <c r="D245" s="14"/>
      <c r="E245" s="116"/>
      <c r="F245" s="82"/>
      <c r="G245" s="16"/>
      <c r="H245" s="13"/>
      <c r="I245" s="13"/>
      <c r="J245" s="13"/>
      <c r="K245" s="18"/>
      <c r="L245" s="13"/>
      <c r="M245" s="19"/>
      <c r="N245" s="19"/>
      <c r="O245" s="19"/>
      <c r="P245" s="27"/>
      <c r="Q245" s="27"/>
      <c r="R245" s="20"/>
      <c r="S245" s="20"/>
      <c r="T245" s="20"/>
      <c r="U245" s="20"/>
      <c r="V245" s="20"/>
      <c r="W245" s="22"/>
      <c r="X245" s="22"/>
      <c r="Y245" s="22"/>
      <c r="Z245" s="23"/>
      <c r="AB245" s="9"/>
    </row>
    <row r="246" spans="1:39" ht="15.75" customHeight="1">
      <c r="A246" s="98">
        <v>24</v>
      </c>
      <c r="B246" s="43"/>
      <c r="C246" s="13"/>
      <c r="D246" s="14"/>
      <c r="E246" s="116"/>
      <c r="F246" s="82"/>
      <c r="G246" s="16"/>
      <c r="H246" s="13"/>
      <c r="I246" s="13"/>
      <c r="J246" s="13"/>
      <c r="K246" s="18"/>
      <c r="L246" s="13"/>
      <c r="M246" s="19"/>
      <c r="N246" s="19"/>
      <c r="O246" s="19"/>
      <c r="P246" s="27"/>
      <c r="Q246" s="27"/>
      <c r="R246" s="20"/>
      <c r="S246" s="20"/>
      <c r="T246" s="20"/>
      <c r="U246" s="20"/>
      <c r="V246" s="20"/>
      <c r="W246" s="22"/>
      <c r="X246" s="22"/>
      <c r="Y246" s="22"/>
      <c r="Z246" s="23"/>
      <c r="AB246" s="9"/>
    </row>
    <row r="247" spans="1:39" ht="15.75" customHeight="1">
      <c r="A247" s="98">
        <v>25</v>
      </c>
      <c r="B247" s="24"/>
      <c r="C247" s="18"/>
      <c r="D247" s="74"/>
      <c r="E247" s="18"/>
      <c r="F247" s="37"/>
      <c r="G247" s="18"/>
      <c r="H247" s="18"/>
      <c r="I247" s="18"/>
      <c r="J247" s="30"/>
      <c r="K247" s="18"/>
      <c r="L247" s="18"/>
      <c r="M247" s="27"/>
      <c r="N247" s="27"/>
      <c r="O247" s="75"/>
      <c r="P247" s="27"/>
      <c r="Q247" s="65"/>
      <c r="R247" s="26"/>
      <c r="S247" s="26"/>
      <c r="T247" s="23"/>
      <c r="U247" s="26"/>
      <c r="V247" s="23"/>
      <c r="W247" s="23"/>
      <c r="X247" s="29">
        <f ca="1">INT((TODAY()-M247)/365)</f>
        <v>126</v>
      </c>
      <c r="Y247" s="8"/>
      <c r="Z247" s="8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spans="1:39" ht="15.75" customHeight="1">
      <c r="A248" s="98">
        <v>26</v>
      </c>
      <c r="B248" s="43"/>
      <c r="C248" s="13"/>
      <c r="D248" s="14"/>
      <c r="E248" s="116"/>
      <c r="F248" s="82"/>
      <c r="G248" s="16"/>
      <c r="H248" s="13"/>
      <c r="I248" s="13"/>
      <c r="J248" s="13"/>
      <c r="K248" s="18"/>
      <c r="L248" s="13"/>
      <c r="M248" s="19"/>
      <c r="N248" s="19"/>
      <c r="O248" s="19"/>
      <c r="P248" s="27"/>
      <c r="Q248" s="27"/>
      <c r="R248" s="20"/>
      <c r="S248" s="20"/>
      <c r="T248" s="20"/>
      <c r="U248" s="20"/>
      <c r="V248" s="20"/>
      <c r="W248" s="22"/>
      <c r="X248" s="22"/>
      <c r="Y248" s="22"/>
      <c r="Z248" s="23"/>
      <c r="AB248" s="9"/>
    </row>
    <row r="249" spans="1:39" ht="15.75" customHeight="1">
      <c r="A249" s="98">
        <v>27</v>
      </c>
      <c r="B249" s="43"/>
      <c r="C249" s="13"/>
      <c r="D249" s="176"/>
      <c r="E249" s="116"/>
      <c r="F249" s="82"/>
      <c r="G249" s="16"/>
      <c r="H249" s="13"/>
      <c r="I249" s="13"/>
      <c r="J249" s="13"/>
      <c r="K249" s="18"/>
      <c r="L249" s="18"/>
      <c r="M249" s="19"/>
      <c r="N249" s="19"/>
      <c r="O249" s="19"/>
      <c r="P249" s="6"/>
      <c r="Q249" s="6"/>
      <c r="R249" s="20"/>
      <c r="S249" s="20"/>
      <c r="T249" s="20"/>
      <c r="U249" s="20"/>
      <c r="V249" s="20"/>
      <c r="W249" s="22"/>
      <c r="X249" s="22"/>
      <c r="Y249" s="22"/>
      <c r="Z249" s="23"/>
      <c r="AB249" s="9"/>
    </row>
    <row r="250" spans="1:39" ht="15.75" customHeight="1">
      <c r="A250" s="98">
        <v>28</v>
      </c>
      <c r="B250" s="177"/>
      <c r="C250" s="22"/>
      <c r="D250" s="178"/>
      <c r="E250" s="116"/>
      <c r="F250" s="82"/>
      <c r="G250" s="16"/>
      <c r="H250" s="13"/>
      <c r="I250" s="13"/>
      <c r="J250" s="13"/>
      <c r="K250" s="18"/>
      <c r="L250" s="13"/>
      <c r="M250" s="19"/>
      <c r="N250" s="19"/>
      <c r="O250" s="19"/>
      <c r="P250" s="27"/>
      <c r="Q250" s="27"/>
      <c r="R250" s="20"/>
      <c r="S250" s="20"/>
      <c r="T250" s="20"/>
      <c r="U250" s="20"/>
      <c r="V250" s="20"/>
      <c r="W250" s="22"/>
      <c r="X250" s="22"/>
      <c r="Y250" s="22"/>
      <c r="Z250" s="23"/>
      <c r="AB250" s="9"/>
    </row>
    <row r="251" spans="1:39" ht="15.75" customHeight="1">
      <c r="A251" s="98">
        <v>29</v>
      </c>
      <c r="B251" s="175"/>
      <c r="C251" s="22"/>
      <c r="D251" s="99"/>
      <c r="E251" s="22"/>
      <c r="F251" s="103"/>
      <c r="G251" s="22"/>
      <c r="H251" s="18"/>
      <c r="I251" s="22"/>
      <c r="J251" s="48"/>
      <c r="K251" s="18"/>
      <c r="L251" s="13"/>
      <c r="M251" s="6"/>
      <c r="N251" s="6"/>
      <c r="O251" s="100"/>
      <c r="P251" s="27"/>
      <c r="Q251" s="6"/>
      <c r="R251" s="26"/>
      <c r="S251" s="26"/>
      <c r="T251" s="26"/>
      <c r="U251" s="26"/>
      <c r="V251" s="26"/>
      <c r="W251" s="29"/>
      <c r="X251" s="23"/>
      <c r="Y251" s="23"/>
      <c r="Z251" s="23"/>
    </row>
    <row r="252" spans="1:39" ht="15.75" customHeight="1">
      <c r="A252" s="98">
        <v>30</v>
      </c>
      <c r="B252" s="175"/>
      <c r="C252" s="22"/>
      <c r="D252" s="99"/>
      <c r="E252" s="116"/>
      <c r="F252" s="103"/>
      <c r="G252" s="22"/>
      <c r="H252" s="18"/>
      <c r="I252" s="22"/>
      <c r="J252" s="48"/>
      <c r="K252" s="18"/>
      <c r="L252" s="18"/>
      <c r="M252" s="6"/>
      <c r="N252" s="6"/>
      <c r="O252" s="100"/>
      <c r="P252" s="6"/>
      <c r="Q252" s="6"/>
      <c r="R252" s="26"/>
      <c r="S252" s="26"/>
      <c r="T252" s="26"/>
      <c r="U252" s="26"/>
      <c r="V252" s="26"/>
      <c r="W252" s="29"/>
      <c r="X252" s="23"/>
      <c r="Y252" s="23"/>
      <c r="Z252" s="23"/>
    </row>
    <row r="253" spans="1:39" ht="15.75" customHeight="1">
      <c r="A253" s="98">
        <v>31</v>
      </c>
      <c r="B253" s="24"/>
      <c r="C253" s="18"/>
      <c r="D253" s="93"/>
      <c r="E253" s="18"/>
      <c r="F253" s="37"/>
      <c r="G253" s="18"/>
      <c r="H253" s="18"/>
      <c r="I253" s="18"/>
      <c r="J253" s="18"/>
      <c r="K253" s="18"/>
      <c r="L253" s="13"/>
      <c r="M253" s="27"/>
      <c r="N253" s="27"/>
      <c r="O253" s="75"/>
      <c r="P253" s="27"/>
      <c r="Q253" s="65"/>
      <c r="R253" s="26"/>
      <c r="S253" s="26"/>
      <c r="T253" s="23"/>
      <c r="U253" s="26"/>
      <c r="V253" s="23"/>
      <c r="W253" s="23"/>
      <c r="X253" s="29">
        <f ca="1">INT((TODAY()-M253)/365)</f>
        <v>126</v>
      </c>
      <c r="Y253" s="8"/>
      <c r="Z253" s="8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spans="1:39" ht="15.75" customHeight="1">
      <c r="A254" s="98">
        <v>32</v>
      </c>
      <c r="B254" s="43"/>
      <c r="C254" s="13"/>
      <c r="D254" s="178"/>
      <c r="E254" s="116"/>
      <c r="F254" s="82"/>
      <c r="G254" s="16"/>
      <c r="H254" s="13"/>
      <c r="I254" s="13"/>
      <c r="J254" s="13"/>
      <c r="K254" s="18"/>
      <c r="L254" s="18"/>
      <c r="M254" s="19"/>
      <c r="N254" s="19"/>
      <c r="O254" s="19"/>
      <c r="P254" s="27"/>
      <c r="Q254" s="27"/>
      <c r="R254" s="20"/>
      <c r="S254" s="20"/>
      <c r="T254" s="20"/>
      <c r="U254" s="20"/>
      <c r="V254" s="20"/>
      <c r="W254" s="22"/>
      <c r="X254" s="22"/>
      <c r="Y254" s="22"/>
      <c r="Z254" s="23"/>
      <c r="AB254" s="9"/>
    </row>
    <row r="255" spans="1:39" ht="15.75" customHeight="1">
      <c r="A255" s="98">
        <v>33</v>
      </c>
      <c r="B255" s="175"/>
      <c r="C255" s="22"/>
      <c r="D255" s="99"/>
      <c r="E255" s="22"/>
      <c r="F255" s="37"/>
      <c r="G255" s="22"/>
      <c r="H255" s="18"/>
      <c r="I255" s="90"/>
      <c r="J255" s="48"/>
      <c r="K255" s="18"/>
      <c r="L255" s="18"/>
      <c r="M255" s="27"/>
      <c r="N255" s="27"/>
      <c r="O255" s="100"/>
      <c r="P255" s="19"/>
      <c r="Q255" s="6"/>
      <c r="R255" s="26"/>
      <c r="S255" s="26"/>
      <c r="T255" s="23"/>
      <c r="U255" s="26"/>
      <c r="V255" s="23"/>
      <c r="W255" s="23"/>
      <c r="X255" s="29">
        <f ca="1">INT((TODAY()-M255)/365)</f>
        <v>126</v>
      </c>
      <c r="Y255" s="8"/>
      <c r="Z255" s="8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</row>
    <row r="256" spans="1:39" ht="15.75" customHeight="1">
      <c r="A256" s="98">
        <v>34</v>
      </c>
      <c r="B256" s="177"/>
      <c r="C256" s="22"/>
      <c r="D256" s="178"/>
      <c r="E256" s="116"/>
      <c r="F256" s="82"/>
      <c r="G256" s="16"/>
      <c r="H256" s="13"/>
      <c r="I256" s="13"/>
      <c r="J256" s="13"/>
      <c r="K256" s="18"/>
      <c r="L256" s="18"/>
      <c r="M256" s="19"/>
      <c r="N256" s="19"/>
      <c r="O256" s="19"/>
      <c r="P256" s="27"/>
      <c r="Q256" s="27"/>
      <c r="R256" s="20"/>
      <c r="S256" s="23"/>
      <c r="T256" s="23"/>
      <c r="U256" s="23"/>
      <c r="V256" s="20"/>
      <c r="W256" s="22"/>
      <c r="X256" s="22"/>
      <c r="Y256" s="22"/>
      <c r="Z256" s="23"/>
      <c r="AB256" s="9"/>
    </row>
    <row r="257" spans="1:39" ht="15.75" customHeight="1">
      <c r="A257" s="98">
        <v>35</v>
      </c>
      <c r="B257" s="24"/>
      <c r="C257" s="18"/>
      <c r="D257" s="93"/>
      <c r="E257" s="18"/>
      <c r="F257" s="84"/>
      <c r="G257" s="18"/>
      <c r="H257" s="18"/>
      <c r="I257" s="18"/>
      <c r="J257" s="18"/>
      <c r="K257" s="18"/>
      <c r="L257" s="18"/>
      <c r="M257" s="27"/>
      <c r="N257" s="27"/>
      <c r="O257" s="75"/>
      <c r="P257" s="27"/>
      <c r="Q257" s="65"/>
      <c r="R257" s="26"/>
      <c r="S257" s="23"/>
      <c r="T257" s="23"/>
      <c r="U257" s="23"/>
      <c r="V257" s="23"/>
      <c r="W257" s="23"/>
      <c r="X257" s="29">
        <f ca="1">INT((TODAY()-M257)/365)</f>
        <v>126</v>
      </c>
      <c r="Y257" s="8"/>
      <c r="Z257" s="8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</row>
    <row r="258" spans="1:39" ht="15.75" customHeight="1">
      <c r="A258" s="98">
        <v>36</v>
      </c>
      <c r="B258" s="175"/>
      <c r="C258" s="22"/>
      <c r="D258" s="99"/>
      <c r="E258" s="116"/>
      <c r="F258" s="103"/>
      <c r="G258" s="22"/>
      <c r="H258" s="18"/>
      <c r="I258" s="22"/>
      <c r="J258" s="48"/>
      <c r="K258" s="18"/>
      <c r="L258" s="18"/>
      <c r="M258" s="6"/>
      <c r="N258" s="6"/>
      <c r="O258" s="100"/>
      <c r="P258" s="27"/>
      <c r="Q258" s="6"/>
      <c r="R258" s="26"/>
      <c r="S258" s="23"/>
      <c r="T258" s="23"/>
      <c r="U258" s="23"/>
      <c r="V258" s="26"/>
      <c r="W258" s="29"/>
      <c r="X258" s="23"/>
      <c r="Y258" s="23"/>
      <c r="Z258" s="23"/>
    </row>
    <row r="259" spans="1:39" ht="15.75" customHeight="1">
      <c r="A259" s="98">
        <v>37</v>
      </c>
      <c r="B259" s="175"/>
      <c r="C259" s="22"/>
      <c r="D259" s="99"/>
      <c r="E259" s="116"/>
      <c r="F259" s="103"/>
      <c r="G259" s="22"/>
      <c r="H259" s="18"/>
      <c r="I259" s="22"/>
      <c r="J259" s="48"/>
      <c r="K259" s="18"/>
      <c r="L259" s="13"/>
      <c r="M259" s="6"/>
      <c r="N259" s="6"/>
      <c r="O259" s="100"/>
      <c r="P259" s="27"/>
      <c r="Q259" s="6"/>
      <c r="R259" s="26"/>
      <c r="S259" s="23"/>
      <c r="T259" s="23"/>
      <c r="U259" s="23"/>
      <c r="V259" s="26"/>
      <c r="W259" s="29"/>
      <c r="X259" s="23"/>
      <c r="Y259" s="23"/>
      <c r="Z259" s="23"/>
    </row>
    <row r="260" spans="1:39" ht="15.75" customHeight="1">
      <c r="A260" s="98">
        <v>38</v>
      </c>
      <c r="B260" s="177"/>
      <c r="C260" s="22"/>
      <c r="D260" s="178"/>
      <c r="E260" s="116"/>
      <c r="F260" s="82"/>
      <c r="G260" s="16"/>
      <c r="H260" s="13"/>
      <c r="I260" s="13"/>
      <c r="J260" s="13"/>
      <c r="K260" s="18"/>
      <c r="L260" s="13"/>
      <c r="M260" s="19"/>
      <c r="N260" s="19"/>
      <c r="O260" s="19"/>
      <c r="P260" s="27"/>
      <c r="Q260" s="27"/>
      <c r="R260" s="20"/>
      <c r="S260" s="23"/>
      <c r="T260" s="23"/>
      <c r="U260" s="23"/>
      <c r="V260" s="20"/>
      <c r="W260" s="22"/>
      <c r="X260" s="22"/>
      <c r="Y260" s="22"/>
      <c r="Z260" s="23"/>
      <c r="AB260" s="9"/>
    </row>
    <row r="261" spans="1:39" ht="15.75" customHeight="1">
      <c r="A261" s="98">
        <v>39</v>
      </c>
      <c r="B261" s="175"/>
      <c r="C261" s="22"/>
      <c r="D261" s="99"/>
      <c r="E261" s="22"/>
      <c r="F261" s="103"/>
      <c r="G261" s="22"/>
      <c r="H261" s="18"/>
      <c r="I261" s="22"/>
      <c r="J261" s="48"/>
      <c r="K261" s="18"/>
      <c r="L261" s="22"/>
      <c r="M261" s="6"/>
      <c r="N261" s="6"/>
      <c r="O261" s="100"/>
      <c r="P261" s="6"/>
      <c r="Q261" s="6"/>
      <c r="R261" s="26"/>
      <c r="S261" s="23"/>
      <c r="T261" s="23"/>
      <c r="U261" s="23"/>
      <c r="V261" s="26"/>
      <c r="W261" s="29"/>
      <c r="X261" s="23"/>
      <c r="Y261" s="23"/>
      <c r="Z261" s="23"/>
    </row>
    <row r="262" spans="1:39" ht="15.75" customHeight="1">
      <c r="A262" s="98">
        <v>40</v>
      </c>
      <c r="B262" s="43"/>
      <c r="C262" s="13"/>
      <c r="D262" s="176"/>
      <c r="E262" s="116"/>
      <c r="F262" s="82"/>
      <c r="G262" s="16"/>
      <c r="H262" s="13"/>
      <c r="I262" s="13"/>
      <c r="J262" s="13"/>
      <c r="K262" s="18"/>
      <c r="L262" s="18"/>
      <c r="M262" s="19"/>
      <c r="N262" s="19"/>
      <c r="O262" s="19"/>
      <c r="P262" s="27"/>
      <c r="Q262" s="27"/>
      <c r="R262" s="20"/>
      <c r="S262" s="20"/>
      <c r="T262" s="20"/>
      <c r="U262" s="20"/>
      <c r="V262" s="20"/>
      <c r="W262" s="22"/>
      <c r="X262" s="22"/>
      <c r="Y262" s="22"/>
      <c r="Z262" s="23"/>
      <c r="AB262" s="9"/>
    </row>
    <row r="263" spans="1:39" ht="15.75" customHeight="1">
      <c r="A263" s="98">
        <v>41</v>
      </c>
      <c r="B263" s="175"/>
      <c r="C263" s="22"/>
      <c r="D263" s="176"/>
      <c r="E263" s="22"/>
      <c r="F263" s="26"/>
      <c r="G263" s="22"/>
      <c r="H263" s="18"/>
      <c r="I263" s="22"/>
      <c r="J263" s="48"/>
      <c r="K263" s="18"/>
      <c r="L263" s="22"/>
      <c r="M263" s="6"/>
      <c r="N263" s="6"/>
      <c r="O263" s="100"/>
      <c r="P263" s="6"/>
      <c r="Q263" s="6"/>
      <c r="R263" s="26"/>
      <c r="S263" s="26"/>
      <c r="T263" s="23"/>
      <c r="U263" s="26"/>
      <c r="V263" s="26"/>
      <c r="W263" s="23"/>
      <c r="X263" s="29">
        <f ca="1">INT((TODAY()-M263)/365)</f>
        <v>126</v>
      </c>
      <c r="Y263" s="23"/>
      <c r="Z263" s="23"/>
    </row>
    <row r="264" spans="1:39" ht="15.75" customHeight="1">
      <c r="A264" s="98">
        <v>42</v>
      </c>
      <c r="B264" s="43"/>
      <c r="C264" s="13"/>
      <c r="D264" s="14"/>
      <c r="E264" s="116"/>
      <c r="F264" s="82"/>
      <c r="G264" s="16"/>
      <c r="H264" s="13"/>
      <c r="I264" s="13"/>
      <c r="J264" s="13"/>
      <c r="K264" s="18"/>
      <c r="L264" s="13"/>
      <c r="M264" s="19"/>
      <c r="N264" s="19"/>
      <c r="O264" s="19"/>
      <c r="P264" s="27"/>
      <c r="Q264" s="27"/>
      <c r="R264" s="20"/>
      <c r="S264" s="26"/>
      <c r="T264" s="26"/>
      <c r="U264" s="26"/>
      <c r="V264" s="20"/>
      <c r="W264" s="22"/>
      <c r="X264" s="22"/>
      <c r="Y264" s="22"/>
      <c r="Z264" s="23"/>
      <c r="AB264" s="9"/>
    </row>
    <row r="265" spans="1:39" ht="15.75" customHeight="1">
      <c r="A265" s="98">
        <v>43</v>
      </c>
      <c r="B265" s="175"/>
      <c r="C265" s="22"/>
      <c r="D265" s="99"/>
      <c r="E265" s="22"/>
      <c r="F265" s="103"/>
      <c r="G265" s="22"/>
      <c r="H265" s="18"/>
      <c r="I265" s="22"/>
      <c r="J265" s="48"/>
      <c r="K265" s="18"/>
      <c r="L265" s="22"/>
      <c r="M265" s="6"/>
      <c r="N265" s="6"/>
      <c r="O265" s="100"/>
      <c r="P265" s="6"/>
      <c r="Q265" s="6"/>
      <c r="R265" s="26"/>
      <c r="S265" s="26"/>
      <c r="T265" s="26"/>
      <c r="U265" s="26"/>
      <c r="V265" s="26"/>
      <c r="W265" s="29"/>
      <c r="X265" s="23"/>
      <c r="Y265" s="23"/>
      <c r="Z265" s="23"/>
    </row>
    <row r="266" spans="1:39" ht="15.75" customHeight="1">
      <c r="A266" s="98">
        <v>44</v>
      </c>
      <c r="B266" s="24"/>
      <c r="C266" s="18"/>
      <c r="D266" s="93"/>
      <c r="E266" s="18"/>
      <c r="F266" s="84"/>
      <c r="G266" s="18"/>
      <c r="H266" s="18"/>
      <c r="I266" s="18"/>
      <c r="J266" s="18"/>
      <c r="K266" s="18"/>
      <c r="L266" s="18"/>
      <c r="M266" s="27"/>
      <c r="N266" s="27"/>
      <c r="O266" s="75"/>
      <c r="P266" s="27"/>
      <c r="Q266" s="65"/>
      <c r="R266" s="26"/>
      <c r="S266" s="20"/>
      <c r="T266" s="20"/>
      <c r="U266" s="20"/>
      <c r="V266" s="23"/>
      <c r="W266" s="23"/>
      <c r="X266" s="29">
        <f t="shared" ref="X266:X267" ca="1" si="54">INT((TODAY()-M266)/365)</f>
        <v>126</v>
      </c>
      <c r="Y266" s="8"/>
      <c r="Z266" s="8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</row>
    <row r="267" spans="1:39" ht="15.75" customHeight="1">
      <c r="A267" s="98">
        <v>45</v>
      </c>
      <c r="B267" s="24"/>
      <c r="C267" s="18"/>
      <c r="D267" s="93"/>
      <c r="E267" s="18"/>
      <c r="F267" s="84"/>
      <c r="G267" s="18"/>
      <c r="H267" s="18"/>
      <c r="I267" s="18"/>
      <c r="J267" s="18"/>
      <c r="K267" s="18"/>
      <c r="L267" s="18"/>
      <c r="M267" s="27"/>
      <c r="N267" s="27"/>
      <c r="O267" s="75"/>
      <c r="P267" s="27"/>
      <c r="Q267" s="65"/>
      <c r="R267" s="26"/>
      <c r="S267" s="26"/>
      <c r="T267" s="26"/>
      <c r="U267" s="26"/>
      <c r="V267" s="23"/>
      <c r="W267" s="23"/>
      <c r="X267" s="29">
        <f t="shared" ca="1" si="54"/>
        <v>126</v>
      </c>
      <c r="Y267" s="8"/>
      <c r="Z267" s="8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</row>
    <row r="268" spans="1:39" ht="15.75" customHeight="1">
      <c r="A268" s="98">
        <v>46</v>
      </c>
      <c r="B268" s="175"/>
      <c r="C268" s="22"/>
      <c r="D268" s="99"/>
      <c r="E268" s="116"/>
      <c r="F268" s="103"/>
      <c r="G268" s="22"/>
      <c r="H268" s="18"/>
      <c r="I268" s="22"/>
      <c r="J268" s="48"/>
      <c r="K268" s="18"/>
      <c r="L268" s="70"/>
      <c r="M268" s="6"/>
      <c r="N268" s="6"/>
      <c r="O268" s="100"/>
      <c r="P268" s="6"/>
      <c r="Q268" s="6"/>
      <c r="R268" s="26"/>
      <c r="S268" s="20"/>
      <c r="T268" s="20"/>
      <c r="U268" s="20"/>
      <c r="V268" s="26"/>
      <c r="W268" s="29"/>
      <c r="X268" s="23"/>
      <c r="Y268" s="23"/>
      <c r="Z268" s="23"/>
    </row>
    <row r="269" spans="1:39" ht="15.75" customHeight="1">
      <c r="A269" s="98">
        <v>47</v>
      </c>
      <c r="B269" s="43"/>
      <c r="C269" s="13"/>
      <c r="D269" s="14"/>
      <c r="E269" s="116"/>
      <c r="F269" s="82"/>
      <c r="G269" s="16"/>
      <c r="H269" s="13"/>
      <c r="I269" s="13"/>
      <c r="J269" s="13"/>
      <c r="K269" s="18"/>
      <c r="L269" s="13"/>
      <c r="M269" s="19"/>
      <c r="N269" s="19"/>
      <c r="O269" s="19"/>
      <c r="P269" s="27"/>
      <c r="Q269" s="27"/>
      <c r="R269" s="20"/>
      <c r="S269" s="26"/>
      <c r="T269" s="26"/>
      <c r="U269" s="26"/>
      <c r="V269" s="20"/>
      <c r="W269" s="22"/>
      <c r="X269" s="22"/>
      <c r="Y269" s="22"/>
      <c r="Z269" s="23"/>
      <c r="AB269" s="9"/>
    </row>
    <row r="270" spans="1:39" ht="15.75" customHeight="1">
      <c r="A270" s="98">
        <v>48</v>
      </c>
      <c r="B270" s="43"/>
      <c r="C270" s="13"/>
      <c r="D270" s="176"/>
      <c r="E270" s="116"/>
      <c r="F270" s="82"/>
      <c r="G270" s="16"/>
      <c r="H270" s="13"/>
      <c r="I270" s="13"/>
      <c r="J270" s="13"/>
      <c r="K270" s="18"/>
      <c r="L270" s="18"/>
      <c r="M270" s="19"/>
      <c r="N270" s="19"/>
      <c r="O270" s="19"/>
      <c r="P270" s="6"/>
      <c r="Q270" s="6"/>
      <c r="R270" s="20"/>
      <c r="S270" s="20"/>
      <c r="T270" s="20"/>
      <c r="U270" s="20"/>
      <c r="V270" s="20"/>
      <c r="W270" s="22"/>
      <c r="X270" s="22"/>
      <c r="Y270" s="22"/>
      <c r="Z270" s="23"/>
      <c r="AB270" s="9"/>
    </row>
    <row r="271" spans="1:39" ht="15.75" customHeight="1">
      <c r="A271" s="98">
        <v>49</v>
      </c>
      <c r="B271" s="177"/>
      <c r="C271" s="22"/>
      <c r="D271" s="178"/>
      <c r="E271" s="116"/>
      <c r="F271" s="82"/>
      <c r="G271" s="16"/>
      <c r="H271" s="13"/>
      <c r="I271" s="13"/>
      <c r="J271" s="13"/>
      <c r="K271" s="18"/>
      <c r="L271" s="13"/>
      <c r="M271" s="19"/>
      <c r="N271" s="19"/>
      <c r="O271" s="19"/>
      <c r="P271" s="27"/>
      <c r="Q271" s="27"/>
      <c r="R271" s="20"/>
      <c r="S271" s="20"/>
      <c r="T271" s="20"/>
      <c r="U271" s="20"/>
      <c r="V271" s="20"/>
      <c r="W271" s="22"/>
      <c r="X271" s="22"/>
      <c r="Y271" s="22"/>
      <c r="Z271" s="23"/>
      <c r="AB271" s="9"/>
    </row>
    <row r="272" spans="1:39" ht="15.75" customHeight="1">
      <c r="A272" s="98">
        <v>51</v>
      </c>
      <c r="B272" s="175"/>
      <c r="C272" s="22"/>
      <c r="D272" s="99"/>
      <c r="E272" s="22"/>
      <c r="F272" s="84"/>
      <c r="G272" s="22"/>
      <c r="H272" s="18"/>
      <c r="I272" s="22"/>
      <c r="J272" s="48"/>
      <c r="K272" s="18"/>
      <c r="L272" s="13"/>
      <c r="M272" s="6"/>
      <c r="N272" s="6"/>
      <c r="O272" s="100"/>
      <c r="P272" s="6"/>
      <c r="Q272" s="6"/>
      <c r="R272" s="26"/>
      <c r="S272" s="26"/>
      <c r="T272" s="26"/>
      <c r="U272" s="26"/>
      <c r="V272" s="23"/>
      <c r="W272" s="23"/>
      <c r="X272" s="29">
        <f ca="1">INT((TODAY()-M272)/365)</f>
        <v>126</v>
      </c>
      <c r="Y272" s="8"/>
      <c r="Z272" s="8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 spans="1:39" ht="15.75" customHeight="1">
      <c r="A273" s="98">
        <v>52</v>
      </c>
      <c r="B273" s="43"/>
      <c r="C273" s="13"/>
      <c r="D273" s="176"/>
      <c r="E273" s="116"/>
      <c r="F273" s="82"/>
      <c r="G273" s="16"/>
      <c r="H273" s="13"/>
      <c r="I273" s="13"/>
      <c r="J273" s="13"/>
      <c r="K273" s="18"/>
      <c r="L273" s="18"/>
      <c r="M273" s="19"/>
      <c r="N273" s="19"/>
      <c r="O273" s="19"/>
      <c r="P273" s="27"/>
      <c r="Q273" s="27"/>
      <c r="R273" s="20"/>
      <c r="S273" s="20"/>
      <c r="T273" s="20"/>
      <c r="U273" s="20"/>
      <c r="V273" s="20"/>
      <c r="W273" s="22"/>
      <c r="X273" s="22"/>
      <c r="Y273" s="22"/>
      <c r="Z273" s="23"/>
      <c r="AB273" s="9"/>
    </row>
    <row r="274" spans="1:39" ht="15.75" customHeight="1">
      <c r="A274" s="98">
        <v>53</v>
      </c>
      <c r="B274" s="24"/>
      <c r="C274" s="18"/>
      <c r="D274" s="93"/>
      <c r="E274" s="18"/>
      <c r="F274" s="26"/>
      <c r="G274" s="18"/>
      <c r="H274" s="18"/>
      <c r="I274" s="18"/>
      <c r="J274" s="30"/>
      <c r="K274" s="18"/>
      <c r="L274" s="18"/>
      <c r="M274" s="27"/>
      <c r="N274" s="27"/>
      <c r="O274" s="75"/>
      <c r="P274" s="27"/>
      <c r="Q274" s="65"/>
      <c r="R274" s="26"/>
      <c r="S274" s="26"/>
      <c r="T274" s="26"/>
      <c r="U274" s="26"/>
      <c r="V274" s="23"/>
      <c r="W274" s="23"/>
      <c r="X274" s="29">
        <f ca="1">INT((TODAY()-M274)/365)</f>
        <v>126</v>
      </c>
      <c r="Y274" s="8"/>
      <c r="Z274" s="8"/>
      <c r="AA274" s="8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</row>
    <row r="275" spans="1:39" ht="15.75" customHeight="1">
      <c r="A275" s="98">
        <v>54</v>
      </c>
      <c r="B275" s="175"/>
      <c r="C275" s="22"/>
      <c r="D275" s="99"/>
      <c r="E275" s="116"/>
      <c r="F275" s="103"/>
      <c r="G275" s="22"/>
      <c r="H275" s="18"/>
      <c r="I275" s="22"/>
      <c r="J275" s="48"/>
      <c r="K275" s="18"/>
      <c r="L275" s="22"/>
      <c r="M275" s="95"/>
      <c r="N275" s="95"/>
      <c r="O275" s="95"/>
      <c r="P275" s="6"/>
      <c r="Q275" s="6"/>
      <c r="R275" s="26"/>
      <c r="S275" s="26"/>
      <c r="T275" s="26"/>
      <c r="U275" s="26"/>
      <c r="V275" s="26"/>
      <c r="W275" s="29"/>
      <c r="X275" s="23"/>
      <c r="Y275" s="23"/>
      <c r="Z275" s="23"/>
      <c r="AA275" s="23"/>
    </row>
    <row r="276" spans="1:39" ht="15.75" customHeight="1">
      <c r="A276" s="98">
        <v>55</v>
      </c>
      <c r="B276" s="175"/>
      <c r="C276" s="22"/>
      <c r="D276" s="99"/>
      <c r="E276" s="22"/>
      <c r="F276" s="26"/>
      <c r="G276" s="22"/>
      <c r="H276" s="18"/>
      <c r="I276" s="22"/>
      <c r="J276" s="48"/>
      <c r="K276" s="18"/>
      <c r="L276" s="22"/>
      <c r="M276" s="6"/>
      <c r="N276" s="6"/>
      <c r="O276" s="100"/>
      <c r="P276" s="6"/>
      <c r="Q276" s="6"/>
      <c r="R276" s="26"/>
      <c r="S276" s="26"/>
      <c r="T276" s="26"/>
      <c r="U276" s="26"/>
      <c r="V276" s="26"/>
      <c r="W276" s="23"/>
      <c r="X276" s="29">
        <f t="shared" ref="X276:X281" ca="1" si="55">INT((TODAY()-M276)/365)</f>
        <v>126</v>
      </c>
      <c r="Y276" s="23"/>
      <c r="Z276" s="23"/>
    </row>
    <row r="277" spans="1:39" ht="15.75" customHeight="1">
      <c r="A277" s="98">
        <v>56</v>
      </c>
      <c r="B277" s="175"/>
      <c r="C277" s="22"/>
      <c r="D277" s="99"/>
      <c r="E277" s="22"/>
      <c r="F277" s="103"/>
      <c r="G277" s="22"/>
      <c r="H277" s="18"/>
      <c r="I277" s="22"/>
      <c r="J277" s="48"/>
      <c r="K277" s="18"/>
      <c r="L277" s="22"/>
      <c r="M277" s="6"/>
      <c r="N277" s="6"/>
      <c r="O277" s="100"/>
      <c r="P277" s="6"/>
      <c r="Q277" s="6"/>
      <c r="R277" s="26"/>
      <c r="S277" s="26"/>
      <c r="T277" s="26"/>
      <c r="U277" s="26"/>
      <c r="V277" s="26"/>
      <c r="W277" s="23"/>
      <c r="X277" s="29">
        <f t="shared" ca="1" si="55"/>
        <v>126</v>
      </c>
      <c r="Y277" s="23"/>
      <c r="Z277" s="23"/>
      <c r="AA277" s="23"/>
    </row>
    <row r="278" spans="1:39">
      <c r="A278" s="98">
        <v>57</v>
      </c>
      <c r="B278" s="24"/>
      <c r="C278" s="18"/>
      <c r="D278" s="93"/>
      <c r="E278" s="18"/>
      <c r="F278" s="26"/>
      <c r="G278" s="18"/>
      <c r="H278" s="18"/>
      <c r="I278" s="18"/>
      <c r="J278" s="18"/>
      <c r="K278" s="18"/>
      <c r="L278" s="18"/>
      <c r="M278" s="27"/>
      <c r="N278" s="27"/>
      <c r="O278" s="75"/>
      <c r="P278" s="27"/>
      <c r="Q278" s="65"/>
      <c r="R278" s="26"/>
      <c r="S278" s="26"/>
      <c r="T278" s="26"/>
      <c r="U278" s="26"/>
      <c r="V278" s="23"/>
      <c r="W278" s="23"/>
      <c r="X278" s="29">
        <f t="shared" ca="1" si="55"/>
        <v>126</v>
      </c>
      <c r="Y278" s="8"/>
      <c r="Z278" s="8"/>
      <c r="AA278" s="8"/>
      <c r="AB278" s="9"/>
      <c r="AC278" s="9"/>
      <c r="AD278" s="8"/>
      <c r="AE278" s="8"/>
      <c r="AF278" s="8"/>
      <c r="AG278" s="8"/>
      <c r="AH278" s="8"/>
      <c r="AI278" s="9"/>
      <c r="AJ278" s="9"/>
      <c r="AK278" s="9"/>
      <c r="AL278" s="9"/>
      <c r="AM278" s="9"/>
    </row>
    <row r="279" spans="1:39" ht="15.75" customHeight="1">
      <c r="A279" s="98">
        <v>58</v>
      </c>
      <c r="B279" s="24"/>
      <c r="C279" s="18"/>
      <c r="D279" s="93"/>
      <c r="E279" s="18"/>
      <c r="F279" s="26"/>
      <c r="G279" s="18"/>
      <c r="H279" s="18"/>
      <c r="I279" s="18"/>
      <c r="J279" s="18"/>
      <c r="K279" s="18"/>
      <c r="L279" s="18"/>
      <c r="M279" s="27"/>
      <c r="N279" s="27"/>
      <c r="O279" s="75"/>
      <c r="P279" s="27"/>
      <c r="Q279" s="65"/>
      <c r="R279" s="26"/>
      <c r="S279" s="26"/>
      <c r="T279" s="26"/>
      <c r="U279" s="26"/>
      <c r="V279" s="23"/>
      <c r="W279" s="23"/>
      <c r="X279" s="29">
        <f t="shared" ca="1" si="55"/>
        <v>126</v>
      </c>
      <c r="Y279" s="8"/>
      <c r="Z279" s="8"/>
      <c r="AA279" s="8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</row>
    <row r="280" spans="1:39" ht="15.75" customHeight="1">
      <c r="A280" s="98">
        <v>59</v>
      </c>
      <c r="B280" s="175"/>
      <c r="C280" s="22"/>
      <c r="D280" s="176"/>
      <c r="E280" s="22"/>
      <c r="F280" s="103"/>
      <c r="G280" s="22"/>
      <c r="H280" s="18"/>
      <c r="I280" s="22"/>
      <c r="J280" s="48"/>
      <c r="K280" s="18"/>
      <c r="L280" s="22"/>
      <c r="M280" s="6"/>
      <c r="N280" s="6"/>
      <c r="O280" s="100"/>
      <c r="P280" s="6"/>
      <c r="Q280" s="6"/>
      <c r="R280" s="26"/>
      <c r="S280" s="26"/>
      <c r="T280" s="26"/>
      <c r="U280" s="26"/>
      <c r="V280" s="26"/>
      <c r="W280" s="23"/>
      <c r="X280" s="29">
        <f t="shared" ca="1" si="55"/>
        <v>126</v>
      </c>
      <c r="Y280" s="23"/>
      <c r="Z280" s="23"/>
      <c r="AA280" s="23"/>
    </row>
    <row r="281" spans="1:39">
      <c r="A281" s="98">
        <v>60</v>
      </c>
      <c r="B281" s="39"/>
      <c r="C281" s="18"/>
      <c r="D281" s="52"/>
      <c r="E281" s="18"/>
      <c r="F281" s="26"/>
      <c r="G281" s="18"/>
      <c r="H281" s="18"/>
      <c r="I281" s="18"/>
      <c r="J281" s="18"/>
      <c r="K281" s="18"/>
      <c r="L281" s="18"/>
      <c r="M281" s="27"/>
      <c r="N281" s="27"/>
      <c r="O281" s="27"/>
      <c r="P281" s="27"/>
      <c r="Q281" s="27"/>
      <c r="R281" s="7"/>
      <c r="S281" s="7"/>
      <c r="T281" s="26"/>
      <c r="U281" s="7"/>
      <c r="V281" s="8"/>
      <c r="W281" s="8"/>
      <c r="X281" s="29">
        <f t="shared" ca="1" si="55"/>
        <v>126</v>
      </c>
      <c r="Y281" s="8"/>
      <c r="Z281" s="8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</row>
    <row r="282" spans="1:39" ht="18.75">
      <c r="A282" s="98">
        <v>61</v>
      </c>
      <c r="B282" s="43"/>
      <c r="C282" s="13"/>
      <c r="D282" s="176"/>
      <c r="E282" s="116"/>
      <c r="F282" s="82"/>
      <c r="G282" s="16"/>
      <c r="H282" s="13"/>
      <c r="I282" s="13"/>
      <c r="J282" s="13"/>
      <c r="K282" s="18"/>
      <c r="L282" s="18"/>
      <c r="M282" s="19"/>
      <c r="N282" s="19"/>
      <c r="O282" s="19"/>
      <c r="P282" s="27"/>
      <c r="Q282" s="27"/>
      <c r="R282" s="20"/>
      <c r="S282" s="20"/>
      <c r="T282" s="20"/>
      <c r="U282" s="20"/>
      <c r="V282" s="20"/>
      <c r="W282" s="22"/>
      <c r="X282" s="22"/>
      <c r="Y282" s="22"/>
      <c r="Z282" s="23"/>
      <c r="AA282" s="23"/>
      <c r="AB282" s="9"/>
    </row>
    <row r="283" spans="1:39">
      <c r="A283" s="98">
        <v>62</v>
      </c>
      <c r="B283" s="175"/>
      <c r="C283" s="22"/>
      <c r="D283" s="99"/>
      <c r="E283" s="22"/>
      <c r="F283" s="26"/>
      <c r="G283" s="22"/>
      <c r="H283" s="18"/>
      <c r="I283" s="90"/>
      <c r="J283" s="48"/>
      <c r="K283" s="18"/>
      <c r="L283" s="22"/>
      <c r="M283" s="6"/>
      <c r="N283" s="6"/>
      <c r="O283" s="75"/>
      <c r="P283" s="27"/>
      <c r="Q283" s="27"/>
      <c r="R283" s="26"/>
      <c r="S283" s="26"/>
      <c r="T283" s="26"/>
      <c r="U283" s="26"/>
      <c r="V283" s="23"/>
      <c r="W283" s="23"/>
      <c r="X283" s="29">
        <f ca="1">INT((TODAY()-M283)/365)</f>
        <v>126</v>
      </c>
      <c r="Y283" s="8"/>
      <c r="Z283" s="8"/>
      <c r="AA283" s="8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</row>
    <row r="284" spans="1:39" ht="15.75" customHeight="1">
      <c r="A284" s="98">
        <v>63</v>
      </c>
      <c r="B284" s="175"/>
      <c r="C284" s="22"/>
      <c r="D284" s="99"/>
      <c r="E284" s="116"/>
      <c r="F284" s="103"/>
      <c r="G284" s="22"/>
      <c r="H284" s="18"/>
      <c r="I284" s="22"/>
      <c r="J284" s="48"/>
      <c r="K284" s="18"/>
      <c r="L284" s="13"/>
      <c r="M284" s="6"/>
      <c r="N284" s="6"/>
      <c r="O284" s="100"/>
      <c r="P284" s="6"/>
      <c r="Q284" s="6"/>
      <c r="R284" s="26"/>
      <c r="S284" s="26"/>
      <c r="T284" s="26"/>
      <c r="U284" s="26"/>
      <c r="V284" s="26"/>
      <c r="W284" s="29"/>
      <c r="X284" s="23"/>
      <c r="Y284" s="23"/>
      <c r="Z284" s="23"/>
      <c r="AA284" s="23"/>
    </row>
    <row r="285" spans="1:39">
      <c r="A285" s="98">
        <v>64</v>
      </c>
      <c r="B285" s="175"/>
      <c r="C285" s="22"/>
      <c r="D285" s="99"/>
      <c r="E285" s="22"/>
      <c r="F285" s="26"/>
      <c r="G285" s="22"/>
      <c r="H285" s="18"/>
      <c r="I285" s="90"/>
      <c r="J285" s="48"/>
      <c r="K285" s="18"/>
      <c r="L285" s="22"/>
      <c r="M285" s="27"/>
      <c r="N285" s="27"/>
      <c r="O285" s="100"/>
      <c r="P285" s="19"/>
      <c r="Q285" s="6"/>
      <c r="R285" s="26"/>
      <c r="S285" s="26"/>
      <c r="T285" s="26"/>
      <c r="U285" s="26"/>
      <c r="V285" s="23"/>
      <c r="W285" s="23"/>
      <c r="X285" s="29">
        <f ca="1">INT((TODAY()-M285)/365)</f>
        <v>126</v>
      </c>
      <c r="Y285" s="8"/>
      <c r="Z285" s="8"/>
      <c r="AA285" s="8"/>
      <c r="AB285" s="8"/>
      <c r="AC285" s="8"/>
      <c r="AD285" s="8"/>
      <c r="AE285" s="8"/>
      <c r="AF285" s="9"/>
      <c r="AG285" s="9"/>
      <c r="AH285" s="9"/>
      <c r="AI285" s="9"/>
      <c r="AJ285" s="9"/>
      <c r="AK285" s="9"/>
      <c r="AL285" s="9"/>
      <c r="AM285" s="9"/>
    </row>
    <row r="286" spans="1:39" ht="15.75" customHeight="1">
      <c r="A286" s="98">
        <v>65</v>
      </c>
      <c r="B286" s="43"/>
      <c r="C286" s="13"/>
      <c r="D286" s="176"/>
      <c r="E286" s="116"/>
      <c r="F286" s="82"/>
      <c r="G286" s="16"/>
      <c r="H286" s="13"/>
      <c r="I286" s="13"/>
      <c r="J286" s="13"/>
      <c r="K286" s="18"/>
      <c r="L286" s="18"/>
      <c r="M286" s="19"/>
      <c r="N286" s="19"/>
      <c r="O286" s="19"/>
      <c r="P286" s="27"/>
      <c r="Q286" s="27"/>
      <c r="R286" s="20"/>
      <c r="S286" s="20"/>
      <c r="T286" s="20"/>
      <c r="U286" s="20"/>
      <c r="V286" s="20"/>
      <c r="W286" s="22"/>
      <c r="X286" s="22"/>
      <c r="Y286" s="22"/>
      <c r="Z286" s="23"/>
      <c r="AA286" s="23"/>
      <c r="AB286" s="9"/>
    </row>
    <row r="287" spans="1:39" ht="15.75" customHeight="1">
      <c r="A287" s="98">
        <v>66</v>
      </c>
      <c r="B287" s="175"/>
      <c r="C287" s="22"/>
      <c r="D287" s="99"/>
      <c r="E287" s="22"/>
      <c r="F287" s="103"/>
      <c r="G287" s="22"/>
      <c r="H287" s="18"/>
      <c r="I287" s="22"/>
      <c r="J287" s="182"/>
      <c r="K287" s="18"/>
      <c r="L287" s="18"/>
      <c r="M287" s="6"/>
      <c r="N287" s="6"/>
      <c r="O287" s="100"/>
      <c r="P287" s="6"/>
      <c r="Q287" s="6"/>
      <c r="R287" s="26"/>
      <c r="S287" s="26"/>
      <c r="T287" s="26"/>
      <c r="U287" s="26"/>
      <c r="V287" s="26"/>
      <c r="W287" s="23"/>
      <c r="X287" s="29">
        <f ca="1">INT((TODAY()-M287)/365)</f>
        <v>126</v>
      </c>
      <c r="Y287" s="23"/>
      <c r="Z287" s="23"/>
    </row>
    <row r="288" spans="1:39" ht="15.75" customHeight="1">
      <c r="A288" s="98">
        <v>67</v>
      </c>
      <c r="B288" s="175"/>
      <c r="C288" s="22"/>
      <c r="D288" s="99"/>
      <c r="E288" s="116"/>
      <c r="F288" s="103"/>
      <c r="G288" s="22"/>
      <c r="H288" s="18"/>
      <c r="I288" s="90"/>
      <c r="J288" s="48"/>
      <c r="K288" s="18"/>
      <c r="L288" s="22"/>
      <c r="M288" s="6"/>
      <c r="N288" s="6"/>
      <c r="O288" s="75"/>
      <c r="P288" s="27"/>
      <c r="Q288" s="27"/>
      <c r="R288" s="26"/>
      <c r="S288" s="26"/>
      <c r="T288" s="26"/>
      <c r="U288" s="26"/>
      <c r="V288" s="26"/>
      <c r="W288" s="29"/>
      <c r="X288" s="23"/>
      <c r="Y288" s="23"/>
      <c r="Z288" s="23"/>
    </row>
    <row r="289" spans="1:28" ht="15.75">
      <c r="A289" s="98">
        <v>68</v>
      </c>
      <c r="B289" s="175"/>
      <c r="C289" s="22"/>
      <c r="D289" s="99"/>
      <c r="E289" s="22"/>
      <c r="F289" s="103"/>
      <c r="G289" s="22"/>
      <c r="H289" s="18"/>
      <c r="I289" s="22"/>
      <c r="J289" s="48"/>
      <c r="K289" s="18"/>
      <c r="L289" s="18"/>
      <c r="M289" s="6"/>
      <c r="N289" s="6"/>
      <c r="O289" s="100"/>
      <c r="P289" s="6"/>
      <c r="Q289" s="6"/>
      <c r="R289" s="26"/>
      <c r="S289" s="26"/>
      <c r="T289" s="23"/>
      <c r="U289" s="26"/>
      <c r="V289" s="26"/>
      <c r="W289" s="29"/>
      <c r="X289" s="23"/>
      <c r="Y289" s="23"/>
      <c r="Z289" s="23"/>
      <c r="AA289" s="23"/>
    </row>
    <row r="290" spans="1:28" ht="18.75">
      <c r="A290" s="98">
        <v>69</v>
      </c>
      <c r="B290" s="43"/>
      <c r="C290" s="13"/>
      <c r="D290" s="176"/>
      <c r="E290" s="116"/>
      <c r="F290" s="82"/>
      <c r="G290" s="16"/>
      <c r="H290" s="13"/>
      <c r="I290" s="13"/>
      <c r="J290" s="13"/>
      <c r="K290" s="18"/>
      <c r="L290" s="18"/>
      <c r="M290" s="19"/>
      <c r="N290" s="19"/>
      <c r="O290" s="19"/>
      <c r="P290" s="27"/>
      <c r="Q290" s="27"/>
      <c r="R290" s="20"/>
      <c r="S290" s="20"/>
      <c r="T290" s="20"/>
      <c r="U290" s="20"/>
      <c r="V290" s="20"/>
      <c r="W290" s="22"/>
      <c r="X290" s="22"/>
      <c r="Y290" s="22"/>
      <c r="Z290" s="23"/>
      <c r="AA290" s="23"/>
      <c r="AB290" s="9"/>
    </row>
    <row r="291" spans="1:28" ht="18.75">
      <c r="A291" s="98">
        <v>70</v>
      </c>
      <c r="B291" s="43"/>
      <c r="C291" s="13"/>
      <c r="D291" s="176"/>
      <c r="E291" s="116"/>
      <c r="F291" s="82"/>
      <c r="G291" s="16"/>
      <c r="H291" s="13"/>
      <c r="I291" s="13"/>
      <c r="J291" s="13"/>
      <c r="K291" s="18"/>
      <c r="L291" s="18"/>
      <c r="M291" s="19"/>
      <c r="N291" s="19"/>
      <c r="O291" s="19"/>
      <c r="P291" s="27"/>
      <c r="Q291" s="27"/>
      <c r="R291" s="20"/>
      <c r="S291" s="20"/>
      <c r="T291" s="20"/>
      <c r="U291" s="20"/>
      <c r="V291" s="20"/>
      <c r="W291" s="22"/>
      <c r="X291" s="22"/>
      <c r="Y291" s="22"/>
      <c r="Z291" s="23"/>
      <c r="AB291" s="9"/>
    </row>
    <row r="292" spans="1:28" ht="18.75">
      <c r="A292" s="98">
        <v>71</v>
      </c>
      <c r="B292" s="43"/>
      <c r="C292" s="13"/>
      <c r="D292" s="176"/>
      <c r="E292" s="116"/>
      <c r="F292" s="82"/>
      <c r="G292" s="16"/>
      <c r="H292" s="13"/>
      <c r="I292" s="22"/>
      <c r="J292" s="48"/>
      <c r="K292" s="18"/>
      <c r="L292" s="18"/>
      <c r="M292" s="19"/>
      <c r="N292" s="19"/>
      <c r="O292" s="19"/>
      <c r="P292" s="27"/>
      <c r="Q292" s="27"/>
      <c r="R292" s="20"/>
      <c r="S292" s="20"/>
      <c r="T292" s="20"/>
      <c r="U292" s="20"/>
      <c r="V292" s="20"/>
      <c r="W292" s="22"/>
      <c r="X292" s="22"/>
      <c r="Y292" s="22"/>
      <c r="Z292" s="23"/>
      <c r="AB292" s="9"/>
    </row>
    <row r="293" spans="1:28" ht="18.75">
      <c r="A293" s="98">
        <v>72</v>
      </c>
      <c r="B293" s="43"/>
      <c r="C293" s="13"/>
      <c r="D293" s="176"/>
      <c r="E293" s="116"/>
      <c r="F293" s="82"/>
      <c r="G293" s="16"/>
      <c r="H293" s="13"/>
      <c r="I293" s="13"/>
      <c r="J293" s="13"/>
      <c r="K293" s="18"/>
      <c r="L293" s="18"/>
      <c r="M293" s="19"/>
      <c r="N293" s="19"/>
      <c r="O293" s="19"/>
      <c r="P293" s="27"/>
      <c r="Q293" s="27"/>
      <c r="R293" s="20"/>
      <c r="S293" s="20"/>
      <c r="T293" s="20"/>
      <c r="U293" s="20"/>
      <c r="V293" s="20"/>
      <c r="W293" s="22"/>
      <c r="X293" s="22"/>
      <c r="Y293" s="22"/>
      <c r="Z293" s="23"/>
      <c r="AB293" s="9"/>
    </row>
    <row r="294" spans="1:28" ht="18.75">
      <c r="A294" s="98">
        <v>73</v>
      </c>
      <c r="B294" s="43"/>
      <c r="C294" s="13"/>
      <c r="D294" s="14"/>
      <c r="E294" s="116"/>
      <c r="F294" s="82"/>
      <c r="G294" s="16"/>
      <c r="H294" s="13"/>
      <c r="I294" s="13"/>
      <c r="J294" s="13"/>
      <c r="K294" s="18"/>
      <c r="L294" s="18"/>
      <c r="M294" s="19"/>
      <c r="N294" s="19"/>
      <c r="O294" s="19"/>
      <c r="P294" s="27"/>
      <c r="Q294" s="27"/>
      <c r="R294" s="20"/>
      <c r="S294" s="20"/>
      <c r="T294" s="20"/>
      <c r="U294" s="20"/>
      <c r="V294" s="20"/>
      <c r="W294" s="22"/>
      <c r="X294" s="22"/>
      <c r="Y294" s="22"/>
      <c r="Z294" s="23"/>
      <c r="AB294" s="9"/>
    </row>
    <row r="295" spans="1:28">
      <c r="D295" s="183"/>
      <c r="H295" s="117"/>
    </row>
    <row r="296" spans="1:28">
      <c r="D296" s="183"/>
      <c r="H296" s="117"/>
    </row>
    <row r="297" spans="1:28">
      <c r="D297" s="183"/>
      <c r="H297" s="117"/>
    </row>
    <row r="298" spans="1:28">
      <c r="B298" s="184"/>
      <c r="D298" s="183"/>
      <c r="F298" s="23"/>
      <c r="H298" s="117"/>
      <c r="I298" s="117"/>
    </row>
    <row r="299" spans="1:28">
      <c r="B299" s="184"/>
      <c r="D299" s="183"/>
      <c r="F299" s="23"/>
      <c r="H299" s="117"/>
      <c r="I299" s="117"/>
    </row>
    <row r="300" spans="1:28">
      <c r="B300" s="184"/>
      <c r="D300" s="183"/>
      <c r="F300" s="23"/>
      <c r="H300" s="117"/>
      <c r="I300" s="117"/>
    </row>
    <row r="301" spans="1:28">
      <c r="B301" s="184"/>
      <c r="D301" s="183"/>
      <c r="F301" s="23"/>
      <c r="H301" s="117"/>
      <c r="I301" s="117"/>
    </row>
    <row r="302" spans="1:28">
      <c r="B302" s="184"/>
      <c r="D302" s="183"/>
      <c r="F302" s="23"/>
      <c r="H302" s="117"/>
      <c r="I302" s="117"/>
    </row>
    <row r="303" spans="1:28">
      <c r="B303" s="184"/>
      <c r="D303" s="183"/>
      <c r="F303" s="23"/>
      <c r="H303" s="117"/>
      <c r="I303" s="117"/>
    </row>
    <row r="304" spans="1:28">
      <c r="B304" s="184"/>
      <c r="D304" s="183"/>
      <c r="F304" s="23"/>
      <c r="H304" s="117"/>
      <c r="I304" s="117"/>
    </row>
    <row r="305" spans="2:9">
      <c r="B305" s="184"/>
      <c r="D305" s="183"/>
      <c r="F305" s="23"/>
      <c r="H305" s="117"/>
      <c r="I305" s="117"/>
    </row>
    <row r="306" spans="2:9">
      <c r="B306" s="184"/>
      <c r="D306" s="183"/>
      <c r="F306" s="23"/>
      <c r="H306" s="117"/>
      <c r="I306" s="117"/>
    </row>
    <row r="307" spans="2:9">
      <c r="B307" s="184"/>
      <c r="D307" s="183"/>
      <c r="F307" s="23"/>
      <c r="H307" s="117"/>
      <c r="I307" s="117"/>
    </row>
    <row r="308" spans="2:9">
      <c r="B308" s="184"/>
      <c r="D308" s="183"/>
      <c r="F308" s="23"/>
      <c r="H308" s="117"/>
      <c r="I308" s="117"/>
    </row>
    <row r="309" spans="2:9">
      <c r="B309" s="184"/>
      <c r="D309" s="183"/>
      <c r="F309" s="23"/>
      <c r="H309" s="117"/>
      <c r="I309" s="117"/>
    </row>
    <row r="310" spans="2:9">
      <c r="B310" s="184"/>
      <c r="D310" s="183"/>
      <c r="F310" s="23"/>
      <c r="H310" s="117"/>
      <c r="I310" s="117"/>
    </row>
    <row r="311" spans="2:9">
      <c r="B311" s="184"/>
      <c r="D311" s="183"/>
      <c r="F311" s="23"/>
      <c r="H311" s="117"/>
      <c r="I311" s="117"/>
    </row>
    <row r="312" spans="2:9">
      <c r="B312" s="184"/>
      <c r="D312" s="183"/>
      <c r="F312" s="23"/>
      <c r="H312" s="117"/>
      <c r="I312" s="117"/>
    </row>
    <row r="313" spans="2:9">
      <c r="B313" s="184"/>
      <c r="D313" s="183"/>
      <c r="F313" s="23"/>
      <c r="H313" s="117"/>
      <c r="I313" s="117"/>
    </row>
    <row r="314" spans="2:9">
      <c r="B314" s="184"/>
      <c r="D314" s="183"/>
      <c r="F314" s="23"/>
      <c r="H314" s="117"/>
      <c r="I314" s="117"/>
    </row>
    <row r="315" spans="2:9">
      <c r="B315" s="184"/>
      <c r="D315" s="183"/>
      <c r="F315" s="23"/>
      <c r="H315" s="117"/>
      <c r="I315" s="117"/>
    </row>
    <row r="316" spans="2:9">
      <c r="B316" s="184"/>
      <c r="D316" s="183"/>
      <c r="F316" s="23"/>
      <c r="H316" s="117"/>
      <c r="I316" s="117"/>
    </row>
    <row r="317" spans="2:9">
      <c r="B317" s="184"/>
      <c r="D317" s="183"/>
      <c r="F317" s="23"/>
      <c r="H317" s="117"/>
      <c r="I317" s="117"/>
    </row>
    <row r="318" spans="2:9">
      <c r="B318" s="184"/>
      <c r="D318" s="183"/>
      <c r="F318" s="23"/>
      <c r="H318" s="117"/>
      <c r="I318" s="117"/>
    </row>
    <row r="319" spans="2:9">
      <c r="B319" s="184"/>
      <c r="D319" s="183"/>
      <c r="F319" s="23"/>
      <c r="H319" s="117"/>
      <c r="I319" s="117"/>
    </row>
    <row r="320" spans="2:9">
      <c r="B320" s="184"/>
      <c r="D320" s="183"/>
      <c r="F320" s="23"/>
      <c r="H320" s="117"/>
      <c r="I320" s="117"/>
    </row>
    <row r="321" spans="2:9">
      <c r="B321" s="184"/>
      <c r="D321" s="183"/>
      <c r="F321" s="23"/>
      <c r="H321" s="117"/>
      <c r="I321" s="117"/>
    </row>
    <row r="322" spans="2:9">
      <c r="B322" s="184"/>
      <c r="D322" s="183"/>
      <c r="F322" s="23"/>
      <c r="H322" s="117"/>
      <c r="I322" s="117"/>
    </row>
    <row r="323" spans="2:9">
      <c r="B323" s="184"/>
      <c r="D323" s="183"/>
      <c r="F323" s="23"/>
      <c r="H323" s="117"/>
      <c r="I323" s="117"/>
    </row>
    <row r="324" spans="2:9">
      <c r="B324" s="184"/>
      <c r="D324" s="183"/>
      <c r="F324" s="23"/>
      <c r="H324" s="117"/>
      <c r="I324" s="117"/>
    </row>
    <row r="325" spans="2:9">
      <c r="B325" s="184"/>
      <c r="D325" s="183"/>
      <c r="F325" s="23"/>
      <c r="H325" s="117"/>
      <c r="I325" s="117"/>
    </row>
    <row r="326" spans="2:9">
      <c r="B326" s="184"/>
      <c r="D326" s="183"/>
      <c r="F326" s="23"/>
      <c r="H326" s="117"/>
      <c r="I326" s="117"/>
    </row>
    <row r="327" spans="2:9">
      <c r="B327" s="184"/>
      <c r="D327" s="183"/>
      <c r="F327" s="23"/>
      <c r="H327" s="117"/>
      <c r="I327" s="117"/>
    </row>
    <row r="328" spans="2:9">
      <c r="B328" s="184"/>
      <c r="D328" s="183"/>
      <c r="F328" s="23"/>
      <c r="H328" s="117"/>
      <c r="I328" s="117"/>
    </row>
    <row r="329" spans="2:9">
      <c r="B329" s="184"/>
      <c r="D329" s="183"/>
      <c r="F329" s="23"/>
      <c r="H329" s="117"/>
      <c r="I329" s="117"/>
    </row>
    <row r="330" spans="2:9">
      <c r="B330" s="184"/>
      <c r="D330" s="183"/>
      <c r="F330" s="23"/>
      <c r="H330" s="117"/>
      <c r="I330" s="117"/>
    </row>
    <row r="331" spans="2:9">
      <c r="B331" s="184"/>
      <c r="D331" s="183"/>
      <c r="F331" s="23"/>
      <c r="H331" s="117"/>
      <c r="I331" s="117"/>
    </row>
    <row r="332" spans="2:9">
      <c r="B332" s="184"/>
      <c r="D332" s="183"/>
      <c r="F332" s="23"/>
      <c r="H332" s="117"/>
      <c r="I332" s="117"/>
    </row>
    <row r="333" spans="2:9">
      <c r="B333" s="184"/>
      <c r="D333" s="183"/>
      <c r="F333" s="23"/>
      <c r="H333" s="117"/>
      <c r="I333" s="117"/>
    </row>
    <row r="334" spans="2:9">
      <c r="B334" s="184"/>
      <c r="D334" s="183"/>
      <c r="F334" s="23"/>
      <c r="H334" s="117"/>
      <c r="I334" s="117"/>
    </row>
    <row r="335" spans="2:9">
      <c r="B335" s="184"/>
      <c r="D335" s="183"/>
      <c r="F335" s="23"/>
      <c r="H335" s="117"/>
      <c r="I335" s="117"/>
    </row>
    <row r="336" spans="2:9">
      <c r="B336" s="184"/>
      <c r="D336" s="183"/>
      <c r="F336" s="23"/>
      <c r="H336" s="117"/>
      <c r="I336" s="117"/>
    </row>
    <row r="337" spans="2:9">
      <c r="B337" s="184"/>
      <c r="D337" s="183"/>
      <c r="F337" s="23"/>
      <c r="H337" s="117"/>
      <c r="I337" s="117"/>
    </row>
    <row r="338" spans="2:9">
      <c r="B338" s="184"/>
      <c r="D338" s="183"/>
      <c r="F338" s="23"/>
      <c r="H338" s="117"/>
      <c r="I338" s="117"/>
    </row>
    <row r="339" spans="2:9">
      <c r="B339" s="184"/>
      <c r="D339" s="183"/>
      <c r="F339" s="23"/>
      <c r="H339" s="117"/>
      <c r="I339" s="117"/>
    </row>
    <row r="340" spans="2:9">
      <c r="B340" s="184"/>
      <c r="D340" s="183"/>
      <c r="F340" s="23"/>
      <c r="H340" s="117"/>
      <c r="I340" s="117"/>
    </row>
    <row r="341" spans="2:9">
      <c r="B341" s="184"/>
      <c r="D341" s="183"/>
      <c r="F341" s="23"/>
      <c r="H341" s="117"/>
      <c r="I341" s="117"/>
    </row>
    <row r="342" spans="2:9">
      <c r="B342" s="184"/>
      <c r="D342" s="183"/>
      <c r="F342" s="23"/>
      <c r="H342" s="117"/>
      <c r="I342" s="117"/>
    </row>
    <row r="343" spans="2:9">
      <c r="B343" s="184"/>
      <c r="D343" s="183"/>
      <c r="F343" s="23"/>
      <c r="H343" s="117"/>
      <c r="I343" s="117"/>
    </row>
    <row r="344" spans="2:9">
      <c r="B344" s="184"/>
      <c r="D344" s="183"/>
      <c r="F344" s="23"/>
      <c r="H344" s="117"/>
      <c r="I344" s="117"/>
    </row>
    <row r="345" spans="2:9">
      <c r="B345" s="184"/>
      <c r="D345" s="183"/>
      <c r="F345" s="23"/>
      <c r="H345" s="117"/>
      <c r="I345" s="117"/>
    </row>
    <row r="346" spans="2:9">
      <c r="B346" s="184"/>
      <c r="D346" s="183"/>
      <c r="F346" s="23"/>
      <c r="H346" s="117"/>
      <c r="I346" s="117"/>
    </row>
    <row r="347" spans="2:9">
      <c r="B347" s="184"/>
      <c r="D347" s="183"/>
      <c r="F347" s="23"/>
      <c r="H347" s="117"/>
      <c r="I347" s="117"/>
    </row>
    <row r="348" spans="2:9">
      <c r="B348" s="184"/>
      <c r="D348" s="183"/>
      <c r="F348" s="23"/>
      <c r="H348" s="117"/>
      <c r="I348" s="117"/>
    </row>
    <row r="349" spans="2:9">
      <c r="B349" s="184"/>
      <c r="D349" s="183"/>
      <c r="F349" s="23"/>
      <c r="H349" s="117"/>
      <c r="I349" s="117"/>
    </row>
    <row r="350" spans="2:9">
      <c r="B350" s="184"/>
      <c r="D350" s="183"/>
      <c r="F350" s="23"/>
      <c r="H350" s="117"/>
      <c r="I350" s="117"/>
    </row>
    <row r="351" spans="2:9">
      <c r="B351" s="184"/>
      <c r="D351" s="183"/>
      <c r="F351" s="23"/>
      <c r="H351" s="117"/>
      <c r="I351" s="117"/>
    </row>
    <row r="352" spans="2:9">
      <c r="B352" s="184"/>
      <c r="D352" s="183"/>
      <c r="F352" s="23"/>
      <c r="H352" s="117"/>
      <c r="I352" s="117"/>
    </row>
    <row r="353" spans="2:9">
      <c r="B353" s="184"/>
      <c r="D353" s="183"/>
      <c r="F353" s="23"/>
      <c r="H353" s="117"/>
      <c r="I353" s="117"/>
    </row>
    <row r="354" spans="2:9">
      <c r="B354" s="184"/>
      <c r="D354" s="183"/>
      <c r="F354" s="23"/>
      <c r="H354" s="117"/>
      <c r="I354" s="117"/>
    </row>
    <row r="355" spans="2:9">
      <c r="B355" s="184"/>
      <c r="D355" s="183"/>
      <c r="F355" s="23"/>
      <c r="H355" s="117"/>
      <c r="I355" s="117"/>
    </row>
    <row r="356" spans="2:9">
      <c r="B356" s="184"/>
      <c r="D356" s="183"/>
      <c r="F356" s="23"/>
      <c r="H356" s="117"/>
      <c r="I356" s="117"/>
    </row>
    <row r="357" spans="2:9">
      <c r="B357" s="184"/>
      <c r="D357" s="183"/>
      <c r="F357" s="23"/>
      <c r="H357" s="117"/>
      <c r="I357" s="117"/>
    </row>
    <row r="358" spans="2:9">
      <c r="B358" s="184"/>
      <c r="D358" s="183"/>
      <c r="F358" s="23"/>
      <c r="H358" s="117"/>
      <c r="I358" s="117"/>
    </row>
    <row r="359" spans="2:9">
      <c r="B359" s="184"/>
      <c r="D359" s="183"/>
      <c r="F359" s="23"/>
      <c r="H359" s="117"/>
      <c r="I359" s="117"/>
    </row>
    <row r="360" spans="2:9">
      <c r="B360" s="184"/>
      <c r="D360" s="183"/>
      <c r="F360" s="23"/>
      <c r="H360" s="117"/>
      <c r="I360" s="117"/>
    </row>
    <row r="361" spans="2:9">
      <c r="B361" s="184"/>
      <c r="D361" s="183"/>
      <c r="F361" s="23"/>
      <c r="H361" s="117"/>
      <c r="I361" s="117"/>
    </row>
    <row r="362" spans="2:9">
      <c r="B362" s="184"/>
      <c r="D362" s="183"/>
      <c r="F362" s="23"/>
      <c r="H362" s="117"/>
      <c r="I362" s="117"/>
    </row>
    <row r="363" spans="2:9">
      <c r="B363" s="184"/>
      <c r="D363" s="183"/>
      <c r="F363" s="23"/>
      <c r="H363" s="117"/>
      <c r="I363" s="117"/>
    </row>
    <row r="364" spans="2:9">
      <c r="B364" s="184"/>
      <c r="D364" s="183"/>
      <c r="F364" s="23"/>
      <c r="H364" s="117"/>
      <c r="I364" s="117"/>
    </row>
    <row r="365" spans="2:9">
      <c r="B365" s="184"/>
      <c r="D365" s="183"/>
      <c r="F365" s="23"/>
      <c r="H365" s="117"/>
      <c r="I365" s="117"/>
    </row>
    <row r="366" spans="2:9">
      <c r="B366" s="184"/>
      <c r="D366" s="183"/>
      <c r="F366" s="23"/>
      <c r="H366" s="117"/>
      <c r="I366" s="117"/>
    </row>
    <row r="367" spans="2:9">
      <c r="B367" s="184"/>
      <c r="D367" s="183"/>
      <c r="F367" s="23"/>
      <c r="H367" s="117"/>
      <c r="I367" s="117"/>
    </row>
    <row r="368" spans="2:9">
      <c r="B368" s="184"/>
      <c r="D368" s="183"/>
      <c r="F368" s="23"/>
      <c r="H368" s="117"/>
      <c r="I368" s="117"/>
    </row>
    <row r="369" spans="2:9">
      <c r="B369" s="184"/>
      <c r="D369" s="183"/>
      <c r="F369" s="23"/>
      <c r="H369" s="117"/>
      <c r="I369" s="117"/>
    </row>
    <row r="370" spans="2:9">
      <c r="B370" s="184"/>
      <c r="D370" s="183"/>
      <c r="F370" s="23"/>
      <c r="H370" s="117"/>
      <c r="I370" s="117"/>
    </row>
    <row r="371" spans="2:9">
      <c r="B371" s="184"/>
      <c r="D371" s="183"/>
      <c r="F371" s="23"/>
      <c r="H371" s="117"/>
      <c r="I371" s="117"/>
    </row>
    <row r="372" spans="2:9">
      <c r="B372" s="184"/>
      <c r="D372" s="183"/>
      <c r="F372" s="23"/>
      <c r="H372" s="117"/>
      <c r="I372" s="117"/>
    </row>
    <row r="373" spans="2:9">
      <c r="B373" s="184"/>
      <c r="D373" s="183"/>
      <c r="F373" s="23"/>
      <c r="H373" s="117"/>
      <c r="I373" s="117"/>
    </row>
    <row r="374" spans="2:9">
      <c r="B374" s="184"/>
      <c r="D374" s="183"/>
      <c r="F374" s="23"/>
      <c r="H374" s="117"/>
      <c r="I374" s="117"/>
    </row>
    <row r="375" spans="2:9">
      <c r="B375" s="184"/>
      <c r="D375" s="183"/>
      <c r="F375" s="23"/>
      <c r="H375" s="117"/>
      <c r="I375" s="117"/>
    </row>
    <row r="376" spans="2:9">
      <c r="B376" s="184"/>
      <c r="D376" s="183"/>
      <c r="F376" s="23"/>
      <c r="H376" s="117"/>
      <c r="I376" s="117"/>
    </row>
    <row r="377" spans="2:9">
      <c r="B377" s="184"/>
      <c r="D377" s="183"/>
      <c r="F377" s="23"/>
      <c r="H377" s="117"/>
      <c r="I377" s="117"/>
    </row>
    <row r="378" spans="2:9">
      <c r="B378" s="184"/>
      <c r="D378" s="183"/>
      <c r="F378" s="23"/>
      <c r="H378" s="117"/>
      <c r="I378" s="117"/>
    </row>
    <row r="379" spans="2:9">
      <c r="B379" s="184"/>
      <c r="D379" s="183"/>
      <c r="F379" s="23"/>
      <c r="H379" s="117"/>
      <c r="I379" s="117"/>
    </row>
    <row r="380" spans="2:9">
      <c r="B380" s="184"/>
      <c r="D380" s="183"/>
      <c r="F380" s="23"/>
      <c r="H380" s="117"/>
      <c r="I380" s="117"/>
    </row>
    <row r="381" spans="2:9">
      <c r="B381" s="184"/>
      <c r="D381" s="183"/>
      <c r="F381" s="23"/>
      <c r="H381" s="117"/>
      <c r="I381" s="117"/>
    </row>
    <row r="382" spans="2:9">
      <c r="B382" s="184"/>
      <c r="D382" s="183"/>
      <c r="F382" s="23"/>
      <c r="H382" s="117"/>
      <c r="I382" s="117"/>
    </row>
    <row r="383" spans="2:9">
      <c r="B383" s="184"/>
      <c r="D383" s="183"/>
      <c r="F383" s="23"/>
      <c r="H383" s="117"/>
      <c r="I383" s="117"/>
    </row>
    <row r="384" spans="2:9">
      <c r="B384" s="184"/>
      <c r="D384" s="183"/>
      <c r="F384" s="23"/>
      <c r="H384" s="117"/>
      <c r="I384" s="117"/>
    </row>
    <row r="385" spans="2:9">
      <c r="B385" s="184"/>
      <c r="D385" s="183"/>
      <c r="F385" s="23"/>
      <c r="H385" s="117"/>
      <c r="I385" s="117"/>
    </row>
    <row r="386" spans="2:9">
      <c r="B386" s="184"/>
      <c r="D386" s="183"/>
      <c r="F386" s="23"/>
      <c r="H386" s="117"/>
      <c r="I386" s="117"/>
    </row>
    <row r="387" spans="2:9">
      <c r="B387" s="184"/>
      <c r="D387" s="183"/>
      <c r="F387" s="23"/>
      <c r="H387" s="117"/>
      <c r="I387" s="117"/>
    </row>
    <row r="388" spans="2:9">
      <c r="B388" s="184"/>
      <c r="D388" s="183"/>
      <c r="F388" s="23"/>
      <c r="H388" s="117"/>
      <c r="I388" s="117"/>
    </row>
    <row r="389" spans="2:9">
      <c r="B389" s="184"/>
      <c r="D389" s="183"/>
      <c r="F389" s="23"/>
      <c r="H389" s="117"/>
      <c r="I389" s="117"/>
    </row>
    <row r="390" spans="2:9">
      <c r="B390" s="184"/>
      <c r="D390" s="183"/>
      <c r="F390" s="23"/>
      <c r="H390" s="117"/>
      <c r="I390" s="117"/>
    </row>
    <row r="391" spans="2:9">
      <c r="B391" s="184"/>
      <c r="D391" s="183"/>
      <c r="F391" s="23"/>
      <c r="H391" s="117"/>
      <c r="I391" s="117"/>
    </row>
    <row r="392" spans="2:9">
      <c r="B392" s="184"/>
      <c r="D392" s="183"/>
      <c r="F392" s="23"/>
      <c r="H392" s="117"/>
      <c r="I392" s="117"/>
    </row>
    <row r="393" spans="2:9">
      <c r="B393" s="184"/>
      <c r="D393" s="183"/>
      <c r="F393" s="23"/>
      <c r="H393" s="117"/>
      <c r="I393" s="117"/>
    </row>
    <row r="394" spans="2:9">
      <c r="B394" s="184"/>
      <c r="D394" s="183"/>
      <c r="F394" s="23"/>
      <c r="H394" s="117"/>
      <c r="I394" s="117"/>
    </row>
    <row r="395" spans="2:9">
      <c r="B395" s="184"/>
      <c r="D395" s="183"/>
      <c r="F395" s="23"/>
      <c r="H395" s="117"/>
      <c r="I395" s="117"/>
    </row>
    <row r="396" spans="2:9">
      <c r="B396" s="184"/>
      <c r="D396" s="183"/>
      <c r="F396" s="23"/>
      <c r="H396" s="117"/>
      <c r="I396" s="117"/>
    </row>
    <row r="397" spans="2:9">
      <c r="B397" s="184"/>
      <c r="D397" s="183"/>
      <c r="F397" s="23"/>
      <c r="H397" s="117"/>
      <c r="I397" s="117"/>
    </row>
    <row r="398" spans="2:9">
      <c r="B398" s="184"/>
      <c r="D398" s="183"/>
      <c r="F398" s="23"/>
      <c r="H398" s="117"/>
      <c r="I398" s="117"/>
    </row>
    <row r="399" spans="2:9">
      <c r="B399" s="184"/>
      <c r="D399" s="183"/>
      <c r="F399" s="23"/>
      <c r="H399" s="117"/>
      <c r="I399" s="117"/>
    </row>
    <row r="400" spans="2:9">
      <c r="B400" s="184"/>
      <c r="D400" s="183"/>
      <c r="F400" s="23"/>
      <c r="H400" s="117"/>
      <c r="I400" s="117"/>
    </row>
    <row r="401" spans="2:9">
      <c r="B401" s="184"/>
      <c r="D401" s="183"/>
      <c r="F401" s="23"/>
      <c r="H401" s="117"/>
      <c r="I401" s="117"/>
    </row>
    <row r="402" spans="2:9">
      <c r="B402" s="184"/>
      <c r="D402" s="183"/>
      <c r="F402" s="23"/>
      <c r="H402" s="117"/>
      <c r="I402" s="117"/>
    </row>
    <row r="403" spans="2:9">
      <c r="B403" s="184"/>
      <c r="D403" s="183"/>
      <c r="F403" s="23"/>
      <c r="H403" s="117"/>
      <c r="I403" s="117"/>
    </row>
    <row r="404" spans="2:9">
      <c r="B404" s="184"/>
      <c r="D404" s="183"/>
      <c r="F404" s="23"/>
      <c r="H404" s="117"/>
      <c r="I404" s="117"/>
    </row>
    <row r="405" spans="2:9">
      <c r="B405" s="184"/>
      <c r="D405" s="183"/>
      <c r="F405" s="23"/>
      <c r="H405" s="117"/>
      <c r="I405" s="117"/>
    </row>
    <row r="406" spans="2:9">
      <c r="B406" s="184"/>
      <c r="D406" s="183"/>
      <c r="F406" s="23"/>
      <c r="H406" s="117"/>
      <c r="I406" s="117"/>
    </row>
    <row r="407" spans="2:9">
      <c r="B407" s="184"/>
      <c r="D407" s="183"/>
      <c r="F407" s="23"/>
      <c r="H407" s="117"/>
      <c r="I407" s="117"/>
    </row>
    <row r="408" spans="2:9">
      <c r="B408" s="184"/>
      <c r="D408" s="183"/>
      <c r="F408" s="23"/>
      <c r="H408" s="117"/>
      <c r="I408" s="117"/>
    </row>
    <row r="409" spans="2:9">
      <c r="B409" s="184"/>
      <c r="D409" s="183"/>
      <c r="F409" s="23"/>
      <c r="H409" s="117"/>
      <c r="I409" s="117"/>
    </row>
    <row r="410" spans="2:9">
      <c r="B410" s="184"/>
      <c r="D410" s="183"/>
      <c r="F410" s="23"/>
      <c r="H410" s="117"/>
      <c r="I410" s="117"/>
    </row>
    <row r="411" spans="2:9">
      <c r="B411" s="184"/>
      <c r="D411" s="183"/>
      <c r="F411" s="23"/>
      <c r="H411" s="117"/>
      <c r="I411" s="117"/>
    </row>
    <row r="412" spans="2:9">
      <c r="B412" s="184"/>
      <c r="D412" s="183"/>
      <c r="F412" s="23"/>
      <c r="H412" s="117"/>
      <c r="I412" s="117"/>
    </row>
    <row r="413" spans="2:9">
      <c r="B413" s="184"/>
      <c r="D413" s="183"/>
      <c r="F413" s="23"/>
      <c r="H413" s="117"/>
      <c r="I413" s="117"/>
    </row>
    <row r="414" spans="2:9">
      <c r="B414" s="184"/>
      <c r="D414" s="183"/>
      <c r="F414" s="23"/>
      <c r="H414" s="117"/>
      <c r="I414" s="117"/>
    </row>
    <row r="415" spans="2:9">
      <c r="B415" s="184"/>
      <c r="D415" s="183"/>
      <c r="F415" s="23"/>
      <c r="H415" s="117"/>
      <c r="I415" s="117"/>
    </row>
    <row r="416" spans="2:9">
      <c r="B416" s="184"/>
      <c r="D416" s="183"/>
      <c r="F416" s="23"/>
      <c r="H416" s="117"/>
      <c r="I416" s="117"/>
    </row>
    <row r="417" spans="2:9">
      <c r="B417" s="184"/>
      <c r="D417" s="183"/>
      <c r="F417" s="23"/>
      <c r="H417" s="117"/>
      <c r="I417" s="117"/>
    </row>
    <row r="418" spans="2:9">
      <c r="B418" s="184"/>
      <c r="D418" s="183"/>
      <c r="F418" s="23"/>
      <c r="H418" s="117"/>
      <c r="I418" s="117"/>
    </row>
    <row r="419" spans="2:9">
      <c r="B419" s="184"/>
      <c r="D419" s="183"/>
      <c r="F419" s="23"/>
      <c r="H419" s="117"/>
      <c r="I419" s="117"/>
    </row>
    <row r="420" spans="2:9">
      <c r="B420" s="184"/>
      <c r="D420" s="183"/>
      <c r="F420" s="23"/>
      <c r="H420" s="117"/>
      <c r="I420" s="117"/>
    </row>
    <row r="421" spans="2:9">
      <c r="B421" s="184"/>
      <c r="D421" s="183"/>
      <c r="F421" s="23"/>
      <c r="H421" s="117"/>
      <c r="I421" s="117"/>
    </row>
    <row r="422" spans="2:9">
      <c r="B422" s="184"/>
      <c r="D422" s="183"/>
      <c r="F422" s="23"/>
      <c r="H422" s="117"/>
      <c r="I422" s="117"/>
    </row>
    <row r="423" spans="2:9">
      <c r="B423" s="184"/>
      <c r="D423" s="183"/>
      <c r="F423" s="23"/>
      <c r="H423" s="117"/>
      <c r="I423" s="117"/>
    </row>
    <row r="424" spans="2:9">
      <c r="B424" s="184"/>
      <c r="D424" s="183"/>
      <c r="F424" s="23"/>
      <c r="H424" s="117"/>
      <c r="I424" s="117"/>
    </row>
    <row r="425" spans="2:9">
      <c r="B425" s="184"/>
      <c r="D425" s="183"/>
      <c r="F425" s="23"/>
      <c r="H425" s="117"/>
      <c r="I425" s="117"/>
    </row>
    <row r="426" spans="2:9">
      <c r="B426" s="184"/>
      <c r="D426" s="183"/>
      <c r="F426" s="23"/>
      <c r="H426" s="117"/>
      <c r="I426" s="117"/>
    </row>
    <row r="427" spans="2:9">
      <c r="B427" s="184"/>
      <c r="D427" s="183"/>
      <c r="F427" s="23"/>
      <c r="H427" s="117"/>
      <c r="I427" s="117"/>
    </row>
    <row r="428" spans="2:9">
      <c r="B428" s="184"/>
      <c r="D428" s="183"/>
      <c r="F428" s="23"/>
      <c r="H428" s="117"/>
      <c r="I428" s="117"/>
    </row>
    <row r="429" spans="2:9">
      <c r="B429" s="184"/>
      <c r="D429" s="183"/>
      <c r="F429" s="23"/>
      <c r="H429" s="117"/>
      <c r="I429" s="117"/>
    </row>
    <row r="430" spans="2:9">
      <c r="B430" s="184"/>
      <c r="D430" s="183"/>
      <c r="F430" s="23"/>
      <c r="H430" s="117"/>
      <c r="I430" s="117"/>
    </row>
    <row r="431" spans="2:9">
      <c r="B431" s="184"/>
      <c r="D431" s="183"/>
      <c r="F431" s="23"/>
      <c r="H431" s="117"/>
      <c r="I431" s="117"/>
    </row>
    <row r="432" spans="2:9">
      <c r="B432" s="184"/>
      <c r="D432" s="183"/>
      <c r="F432" s="23"/>
      <c r="H432" s="117"/>
      <c r="I432" s="117"/>
    </row>
    <row r="433" spans="2:9">
      <c r="B433" s="184"/>
      <c r="D433" s="183"/>
      <c r="F433" s="23"/>
      <c r="H433" s="117"/>
      <c r="I433" s="117"/>
    </row>
    <row r="434" spans="2:9">
      <c r="B434" s="184"/>
      <c r="D434" s="183"/>
      <c r="F434" s="23"/>
      <c r="H434" s="117"/>
      <c r="I434" s="117"/>
    </row>
    <row r="435" spans="2:9">
      <c r="B435" s="184"/>
      <c r="D435" s="183"/>
      <c r="F435" s="23"/>
      <c r="H435" s="117"/>
      <c r="I435" s="117"/>
    </row>
    <row r="436" spans="2:9">
      <c r="B436" s="184"/>
      <c r="D436" s="183"/>
      <c r="F436" s="23"/>
      <c r="H436" s="117"/>
      <c r="I436" s="117"/>
    </row>
    <row r="437" spans="2:9">
      <c r="B437" s="184"/>
      <c r="D437" s="183"/>
      <c r="F437" s="23"/>
      <c r="H437" s="117"/>
      <c r="I437" s="117"/>
    </row>
    <row r="438" spans="2:9">
      <c r="B438" s="184"/>
      <c r="D438" s="183"/>
      <c r="F438" s="23"/>
      <c r="H438" s="117"/>
      <c r="I438" s="117"/>
    </row>
    <row r="439" spans="2:9">
      <c r="B439" s="184"/>
      <c r="D439" s="183"/>
      <c r="F439" s="23"/>
      <c r="H439" s="117"/>
      <c r="I439" s="117"/>
    </row>
    <row r="440" spans="2:9">
      <c r="B440" s="184"/>
      <c r="D440" s="183"/>
      <c r="F440" s="23"/>
      <c r="H440" s="117"/>
      <c r="I440" s="117"/>
    </row>
    <row r="441" spans="2:9">
      <c r="B441" s="184"/>
      <c r="D441" s="183"/>
      <c r="F441" s="23"/>
      <c r="H441" s="117"/>
      <c r="I441" s="117"/>
    </row>
    <row r="442" spans="2:9">
      <c r="B442" s="184"/>
      <c r="D442" s="183"/>
      <c r="F442" s="23"/>
      <c r="H442" s="117"/>
      <c r="I442" s="117"/>
    </row>
    <row r="443" spans="2:9">
      <c r="B443" s="184"/>
      <c r="D443" s="183"/>
      <c r="F443" s="23"/>
      <c r="H443" s="117"/>
      <c r="I443" s="117"/>
    </row>
    <row r="444" spans="2:9">
      <c r="B444" s="184"/>
      <c r="D444" s="183"/>
      <c r="F444" s="23"/>
      <c r="H444" s="117"/>
      <c r="I444" s="117"/>
    </row>
    <row r="445" spans="2:9">
      <c r="B445" s="184"/>
      <c r="D445" s="183"/>
      <c r="F445" s="23"/>
      <c r="H445" s="117"/>
      <c r="I445" s="117"/>
    </row>
    <row r="446" spans="2:9">
      <c r="B446" s="184"/>
      <c r="D446" s="183"/>
      <c r="F446" s="23"/>
      <c r="H446" s="117"/>
      <c r="I446" s="117"/>
    </row>
    <row r="447" spans="2:9">
      <c r="B447" s="184"/>
      <c r="D447" s="183"/>
      <c r="F447" s="23"/>
      <c r="H447" s="117"/>
      <c r="I447" s="117"/>
    </row>
    <row r="448" spans="2:9">
      <c r="B448" s="184"/>
      <c r="D448" s="183"/>
      <c r="F448" s="23"/>
      <c r="H448" s="117"/>
      <c r="I448" s="117"/>
    </row>
    <row r="449" spans="2:9">
      <c r="B449" s="184"/>
      <c r="D449" s="183"/>
      <c r="F449" s="23"/>
      <c r="H449" s="117"/>
      <c r="I449" s="117"/>
    </row>
    <row r="450" spans="2:9">
      <c r="B450" s="184"/>
      <c r="D450" s="183"/>
      <c r="F450" s="23"/>
      <c r="H450" s="117"/>
      <c r="I450" s="117"/>
    </row>
    <row r="451" spans="2:9">
      <c r="B451" s="184"/>
      <c r="D451" s="183"/>
      <c r="F451" s="23"/>
      <c r="H451" s="117"/>
      <c r="I451" s="117"/>
    </row>
    <row r="452" spans="2:9">
      <c r="B452" s="184"/>
      <c r="D452" s="183"/>
      <c r="F452" s="23"/>
      <c r="H452" s="117"/>
      <c r="I452" s="117"/>
    </row>
    <row r="453" spans="2:9">
      <c r="B453" s="184"/>
      <c r="D453" s="183"/>
      <c r="F453" s="23"/>
      <c r="H453" s="117"/>
      <c r="I453" s="117"/>
    </row>
    <row r="454" spans="2:9">
      <c r="B454" s="184"/>
      <c r="D454" s="183"/>
      <c r="F454" s="23"/>
      <c r="H454" s="117"/>
      <c r="I454" s="117"/>
    </row>
    <row r="455" spans="2:9">
      <c r="B455" s="184"/>
      <c r="D455" s="183"/>
      <c r="F455" s="23"/>
      <c r="H455" s="117"/>
      <c r="I455" s="117"/>
    </row>
    <row r="456" spans="2:9">
      <c r="B456" s="184"/>
      <c r="D456" s="183"/>
      <c r="F456" s="23"/>
      <c r="H456" s="117"/>
      <c r="I456" s="117"/>
    </row>
    <row r="457" spans="2:9">
      <c r="B457" s="184"/>
      <c r="D457" s="183"/>
      <c r="F457" s="23"/>
      <c r="H457" s="117"/>
      <c r="I457" s="117"/>
    </row>
    <row r="458" spans="2:9">
      <c r="B458" s="184"/>
      <c r="D458" s="183"/>
      <c r="F458" s="23"/>
      <c r="H458" s="117"/>
      <c r="I458" s="117"/>
    </row>
    <row r="459" spans="2:9">
      <c r="B459" s="184"/>
      <c r="D459" s="183"/>
      <c r="F459" s="23"/>
      <c r="H459" s="117"/>
      <c r="I459" s="117"/>
    </row>
    <row r="460" spans="2:9">
      <c r="B460" s="184"/>
      <c r="D460" s="183"/>
      <c r="F460" s="23"/>
      <c r="H460" s="117"/>
      <c r="I460" s="117"/>
    </row>
    <row r="461" spans="2:9">
      <c r="B461" s="184"/>
      <c r="D461" s="183"/>
      <c r="F461" s="23"/>
      <c r="H461" s="117"/>
      <c r="I461" s="117"/>
    </row>
    <row r="462" spans="2:9">
      <c r="B462" s="184"/>
      <c r="D462" s="183"/>
      <c r="F462" s="23"/>
      <c r="H462" s="117"/>
      <c r="I462" s="117"/>
    </row>
    <row r="463" spans="2:9">
      <c r="B463" s="184"/>
      <c r="D463" s="183"/>
      <c r="F463" s="23"/>
      <c r="H463" s="117"/>
      <c r="I463" s="117"/>
    </row>
    <row r="464" spans="2:9">
      <c r="B464" s="184"/>
      <c r="D464" s="183"/>
      <c r="F464" s="23"/>
      <c r="H464" s="117"/>
      <c r="I464" s="117"/>
    </row>
    <row r="465" spans="2:9">
      <c r="B465" s="184"/>
      <c r="D465" s="183"/>
      <c r="F465" s="23"/>
      <c r="H465" s="117"/>
      <c r="I465" s="117"/>
    </row>
    <row r="466" spans="2:9">
      <c r="B466" s="184"/>
      <c r="D466" s="183"/>
      <c r="F466" s="23"/>
      <c r="H466" s="117"/>
      <c r="I466" s="117"/>
    </row>
    <row r="467" spans="2:9">
      <c r="B467" s="184"/>
      <c r="D467" s="183"/>
      <c r="F467" s="23"/>
      <c r="H467" s="117"/>
      <c r="I467" s="117"/>
    </row>
    <row r="468" spans="2:9">
      <c r="B468" s="184"/>
      <c r="D468" s="183"/>
      <c r="F468" s="23"/>
      <c r="H468" s="117"/>
      <c r="I468" s="117"/>
    </row>
    <row r="469" spans="2:9">
      <c r="B469" s="184"/>
      <c r="D469" s="183"/>
      <c r="F469" s="23"/>
      <c r="H469" s="117"/>
      <c r="I469" s="117"/>
    </row>
    <row r="470" spans="2:9">
      <c r="B470" s="184"/>
      <c r="D470" s="183"/>
      <c r="F470" s="23"/>
      <c r="H470" s="117"/>
      <c r="I470" s="117"/>
    </row>
    <row r="471" spans="2:9">
      <c r="B471" s="184"/>
      <c r="D471" s="183"/>
      <c r="F471" s="23"/>
      <c r="H471" s="117"/>
      <c r="I471" s="117"/>
    </row>
    <row r="472" spans="2:9">
      <c r="B472" s="184"/>
      <c r="D472" s="183"/>
      <c r="F472" s="23"/>
      <c r="H472" s="117"/>
      <c r="I472" s="117"/>
    </row>
    <row r="473" spans="2:9">
      <c r="B473" s="184"/>
      <c r="D473" s="183"/>
      <c r="F473" s="23"/>
      <c r="H473" s="117"/>
      <c r="I473" s="117"/>
    </row>
    <row r="474" spans="2:9">
      <c r="B474" s="184"/>
      <c r="D474" s="183"/>
      <c r="F474" s="23"/>
      <c r="H474" s="117"/>
      <c r="I474" s="117"/>
    </row>
    <row r="475" spans="2:9">
      <c r="B475" s="184"/>
      <c r="D475" s="183"/>
      <c r="F475" s="23"/>
      <c r="H475" s="117"/>
      <c r="I475" s="117"/>
    </row>
    <row r="476" spans="2:9">
      <c r="B476" s="184"/>
      <c r="D476" s="183"/>
      <c r="F476" s="23"/>
      <c r="H476" s="117"/>
      <c r="I476" s="117"/>
    </row>
    <row r="477" spans="2:9">
      <c r="B477" s="184"/>
      <c r="D477" s="183"/>
      <c r="F477" s="23"/>
      <c r="H477" s="117"/>
      <c r="I477" s="117"/>
    </row>
    <row r="478" spans="2:9">
      <c r="B478" s="184"/>
      <c r="D478" s="183"/>
      <c r="F478" s="23"/>
      <c r="H478" s="117"/>
      <c r="I478" s="117"/>
    </row>
    <row r="479" spans="2:9">
      <c r="B479" s="184"/>
      <c r="D479" s="183"/>
      <c r="F479" s="23"/>
      <c r="H479" s="117"/>
      <c r="I479" s="117"/>
    </row>
    <row r="480" spans="2:9">
      <c r="B480" s="184"/>
      <c r="D480" s="183"/>
      <c r="F480" s="23"/>
      <c r="H480" s="117"/>
      <c r="I480" s="117"/>
    </row>
    <row r="481" spans="2:9">
      <c r="B481" s="184"/>
      <c r="D481" s="183"/>
      <c r="F481" s="23"/>
      <c r="H481" s="117"/>
      <c r="I481" s="117"/>
    </row>
    <row r="482" spans="2:9">
      <c r="B482" s="184"/>
      <c r="D482" s="183"/>
      <c r="F482" s="23"/>
      <c r="H482" s="117"/>
      <c r="I482" s="117"/>
    </row>
    <row r="483" spans="2:9">
      <c r="B483" s="184"/>
      <c r="D483" s="183"/>
      <c r="F483" s="23"/>
      <c r="H483" s="117"/>
      <c r="I483" s="117"/>
    </row>
    <row r="484" spans="2:9">
      <c r="B484" s="184"/>
      <c r="D484" s="183"/>
      <c r="F484" s="23"/>
      <c r="H484" s="117"/>
      <c r="I484" s="117"/>
    </row>
    <row r="485" spans="2:9">
      <c r="B485" s="184"/>
      <c r="D485" s="183"/>
      <c r="F485" s="23"/>
      <c r="H485" s="117"/>
      <c r="I485" s="117"/>
    </row>
    <row r="486" spans="2:9">
      <c r="B486" s="184"/>
      <c r="D486" s="183"/>
      <c r="F486" s="23"/>
      <c r="H486" s="117"/>
      <c r="I486" s="117"/>
    </row>
    <row r="487" spans="2:9">
      <c r="B487" s="184"/>
      <c r="D487" s="183"/>
      <c r="F487" s="23"/>
      <c r="H487" s="117"/>
      <c r="I487" s="117"/>
    </row>
    <row r="488" spans="2:9">
      <c r="B488" s="184"/>
      <c r="D488" s="183"/>
      <c r="F488" s="23"/>
      <c r="H488" s="117"/>
      <c r="I488" s="117"/>
    </row>
    <row r="489" spans="2:9">
      <c r="B489" s="184"/>
      <c r="D489" s="183"/>
      <c r="F489" s="23"/>
      <c r="H489" s="117"/>
      <c r="I489" s="117"/>
    </row>
    <row r="490" spans="2:9">
      <c r="B490" s="184"/>
      <c r="D490" s="183"/>
      <c r="F490" s="23"/>
      <c r="H490" s="117"/>
      <c r="I490" s="117"/>
    </row>
    <row r="491" spans="2:9">
      <c r="B491" s="184"/>
      <c r="D491" s="183"/>
      <c r="F491" s="23"/>
      <c r="H491" s="117"/>
      <c r="I491" s="117"/>
    </row>
    <row r="492" spans="2:9">
      <c r="B492" s="184"/>
      <c r="D492" s="183"/>
      <c r="F492" s="23"/>
      <c r="H492" s="117"/>
      <c r="I492" s="117"/>
    </row>
    <row r="493" spans="2:9">
      <c r="B493" s="184"/>
      <c r="D493" s="183"/>
      <c r="F493" s="23"/>
      <c r="H493" s="117"/>
      <c r="I493" s="117"/>
    </row>
    <row r="494" spans="2:9">
      <c r="B494" s="184"/>
      <c r="D494" s="183"/>
      <c r="F494" s="23"/>
      <c r="H494" s="117"/>
      <c r="I494" s="117"/>
    </row>
    <row r="495" spans="2:9">
      <c r="B495" s="184"/>
      <c r="D495" s="183"/>
      <c r="F495" s="23"/>
      <c r="H495" s="117"/>
      <c r="I495" s="117"/>
    </row>
    <row r="496" spans="2:9">
      <c r="B496" s="184"/>
      <c r="D496" s="183"/>
      <c r="F496" s="23"/>
      <c r="H496" s="117"/>
      <c r="I496" s="117"/>
    </row>
    <row r="497" spans="2:9">
      <c r="B497" s="184"/>
      <c r="D497" s="183"/>
      <c r="F497" s="23"/>
      <c r="H497" s="117"/>
      <c r="I497" s="117"/>
    </row>
    <row r="498" spans="2:9">
      <c r="B498" s="184"/>
      <c r="D498" s="183"/>
      <c r="F498" s="23"/>
      <c r="H498" s="117"/>
      <c r="I498" s="117"/>
    </row>
    <row r="499" spans="2:9">
      <c r="B499" s="184"/>
      <c r="D499" s="183"/>
      <c r="F499" s="23"/>
      <c r="H499" s="117"/>
      <c r="I499" s="117"/>
    </row>
    <row r="500" spans="2:9">
      <c r="B500" s="184"/>
      <c r="D500" s="183"/>
      <c r="F500" s="23"/>
      <c r="H500" s="117"/>
      <c r="I500" s="117"/>
    </row>
    <row r="501" spans="2:9">
      <c r="B501" s="184"/>
      <c r="D501" s="183"/>
      <c r="F501" s="23"/>
      <c r="H501" s="117"/>
      <c r="I501" s="117"/>
    </row>
    <row r="502" spans="2:9">
      <c r="B502" s="184"/>
      <c r="D502" s="183"/>
      <c r="F502" s="23"/>
      <c r="H502" s="117"/>
      <c r="I502" s="117"/>
    </row>
    <row r="503" spans="2:9">
      <c r="B503" s="184"/>
      <c r="D503" s="183"/>
      <c r="F503" s="23"/>
      <c r="H503" s="117"/>
      <c r="I503" s="117"/>
    </row>
    <row r="504" spans="2:9">
      <c r="B504" s="184"/>
      <c r="D504" s="183"/>
      <c r="F504" s="23"/>
      <c r="H504" s="117"/>
      <c r="I504" s="117"/>
    </row>
    <row r="505" spans="2:9">
      <c r="B505" s="184"/>
      <c r="D505" s="183"/>
      <c r="F505" s="23"/>
      <c r="H505" s="117"/>
      <c r="I505" s="117"/>
    </row>
    <row r="506" spans="2:9">
      <c r="B506" s="184"/>
      <c r="D506" s="183"/>
      <c r="F506" s="23"/>
      <c r="H506" s="117"/>
      <c r="I506" s="117"/>
    </row>
    <row r="507" spans="2:9">
      <c r="B507" s="184"/>
      <c r="D507" s="183"/>
      <c r="F507" s="23"/>
      <c r="H507" s="117"/>
      <c r="I507" s="117"/>
    </row>
    <row r="508" spans="2:9">
      <c r="B508" s="184"/>
      <c r="D508" s="183"/>
      <c r="F508" s="23"/>
      <c r="H508" s="117"/>
      <c r="I508" s="117"/>
    </row>
    <row r="509" spans="2:9">
      <c r="B509" s="184"/>
      <c r="D509" s="183"/>
      <c r="F509" s="23"/>
      <c r="H509" s="117"/>
      <c r="I509" s="117"/>
    </row>
    <row r="510" spans="2:9">
      <c r="B510" s="184"/>
      <c r="D510" s="183"/>
      <c r="F510" s="23"/>
      <c r="H510" s="117"/>
      <c r="I510" s="117"/>
    </row>
    <row r="511" spans="2:9">
      <c r="B511" s="184"/>
      <c r="D511" s="183"/>
      <c r="F511" s="23"/>
      <c r="H511" s="117"/>
      <c r="I511" s="117"/>
    </row>
    <row r="512" spans="2:9">
      <c r="B512" s="184"/>
      <c r="D512" s="183"/>
      <c r="F512" s="23"/>
      <c r="H512" s="117"/>
      <c r="I512" s="117"/>
    </row>
    <row r="513" spans="2:9">
      <c r="B513" s="184"/>
      <c r="D513" s="183"/>
      <c r="F513" s="23"/>
      <c r="H513" s="117"/>
      <c r="I513" s="117"/>
    </row>
    <row r="514" spans="2:9">
      <c r="B514" s="184"/>
      <c r="D514" s="183"/>
      <c r="F514" s="23"/>
      <c r="H514" s="117"/>
      <c r="I514" s="117"/>
    </row>
    <row r="515" spans="2:9">
      <c r="B515" s="184"/>
      <c r="D515" s="183"/>
      <c r="F515" s="23"/>
      <c r="H515" s="117"/>
      <c r="I515" s="117"/>
    </row>
    <row r="516" spans="2:9">
      <c r="B516" s="184"/>
      <c r="D516" s="183"/>
      <c r="F516" s="23"/>
      <c r="H516" s="117"/>
      <c r="I516" s="117"/>
    </row>
    <row r="517" spans="2:9">
      <c r="B517" s="184"/>
      <c r="D517" s="183"/>
      <c r="F517" s="23"/>
      <c r="H517" s="117"/>
      <c r="I517" s="117"/>
    </row>
    <row r="518" spans="2:9">
      <c r="B518" s="184"/>
      <c r="D518" s="183"/>
      <c r="F518" s="23"/>
      <c r="H518" s="117"/>
      <c r="I518" s="117"/>
    </row>
    <row r="519" spans="2:9">
      <c r="B519" s="184"/>
      <c r="D519" s="183"/>
      <c r="F519" s="23"/>
      <c r="H519" s="117"/>
      <c r="I519" s="117"/>
    </row>
    <row r="520" spans="2:9">
      <c r="B520" s="184"/>
      <c r="D520" s="183"/>
      <c r="F520" s="23"/>
      <c r="H520" s="117"/>
      <c r="I520" s="117"/>
    </row>
    <row r="521" spans="2:9">
      <c r="B521" s="184"/>
      <c r="D521" s="183"/>
      <c r="F521" s="23"/>
      <c r="H521" s="117"/>
      <c r="I521" s="117"/>
    </row>
    <row r="522" spans="2:9">
      <c r="B522" s="184"/>
      <c r="D522" s="183"/>
      <c r="F522" s="23"/>
      <c r="H522" s="117"/>
      <c r="I522" s="117"/>
    </row>
    <row r="523" spans="2:9">
      <c r="B523" s="184"/>
      <c r="D523" s="183"/>
      <c r="F523" s="23"/>
      <c r="H523" s="117"/>
      <c r="I523" s="117"/>
    </row>
    <row r="524" spans="2:9">
      <c r="B524" s="184"/>
      <c r="D524" s="183"/>
      <c r="F524" s="23"/>
      <c r="H524" s="117"/>
      <c r="I524" s="117"/>
    </row>
    <row r="525" spans="2:9">
      <c r="B525" s="184"/>
      <c r="D525" s="183"/>
      <c r="F525" s="23"/>
      <c r="H525" s="117"/>
      <c r="I525" s="117"/>
    </row>
    <row r="526" spans="2:9">
      <c r="B526" s="184"/>
      <c r="D526" s="183"/>
      <c r="F526" s="23"/>
      <c r="H526" s="117"/>
      <c r="I526" s="117"/>
    </row>
    <row r="527" spans="2:9">
      <c r="B527" s="184"/>
      <c r="D527" s="183"/>
      <c r="F527" s="23"/>
      <c r="H527" s="117"/>
      <c r="I527" s="117"/>
    </row>
    <row r="528" spans="2:9">
      <c r="B528" s="184"/>
      <c r="D528" s="183"/>
      <c r="F528" s="23"/>
      <c r="H528" s="117"/>
      <c r="I528" s="117"/>
    </row>
    <row r="529" spans="2:9">
      <c r="B529" s="184"/>
      <c r="D529" s="183"/>
      <c r="F529" s="23"/>
      <c r="H529" s="117"/>
      <c r="I529" s="117"/>
    </row>
    <row r="530" spans="2:9">
      <c r="B530" s="184"/>
      <c r="D530" s="183"/>
      <c r="F530" s="23"/>
      <c r="H530" s="117"/>
      <c r="I530" s="117"/>
    </row>
    <row r="531" spans="2:9">
      <c r="B531" s="184"/>
      <c r="D531" s="183"/>
      <c r="F531" s="23"/>
      <c r="H531" s="117"/>
      <c r="I531" s="117"/>
    </row>
    <row r="532" spans="2:9">
      <c r="B532" s="184"/>
      <c r="D532" s="183"/>
      <c r="F532" s="23"/>
      <c r="H532" s="117"/>
      <c r="I532" s="117"/>
    </row>
    <row r="533" spans="2:9">
      <c r="B533" s="184"/>
      <c r="D533" s="183"/>
      <c r="F533" s="23"/>
      <c r="H533" s="117"/>
      <c r="I533" s="117"/>
    </row>
    <row r="534" spans="2:9">
      <c r="B534" s="184"/>
      <c r="D534" s="183"/>
      <c r="F534" s="23"/>
      <c r="H534" s="117"/>
      <c r="I534" s="117"/>
    </row>
    <row r="535" spans="2:9">
      <c r="B535" s="184"/>
      <c r="D535" s="183"/>
      <c r="F535" s="23"/>
      <c r="H535" s="117"/>
      <c r="I535" s="117"/>
    </row>
    <row r="536" spans="2:9">
      <c r="B536" s="184"/>
      <c r="D536" s="183"/>
      <c r="F536" s="23"/>
      <c r="H536" s="117"/>
      <c r="I536" s="117"/>
    </row>
    <row r="537" spans="2:9">
      <c r="B537" s="184"/>
      <c r="D537" s="183"/>
      <c r="F537" s="23"/>
      <c r="H537" s="117"/>
      <c r="I537" s="117"/>
    </row>
    <row r="538" spans="2:9">
      <c r="B538" s="184"/>
      <c r="D538" s="183"/>
      <c r="F538" s="23"/>
      <c r="H538" s="117"/>
      <c r="I538" s="117"/>
    </row>
    <row r="539" spans="2:9">
      <c r="B539" s="184"/>
      <c r="D539" s="183"/>
      <c r="F539" s="23"/>
      <c r="H539" s="117"/>
      <c r="I539" s="117"/>
    </row>
    <row r="540" spans="2:9">
      <c r="B540" s="184"/>
      <c r="D540" s="183"/>
      <c r="F540" s="23"/>
      <c r="H540" s="117"/>
      <c r="I540" s="117"/>
    </row>
    <row r="541" spans="2:9">
      <c r="B541" s="184"/>
      <c r="D541" s="183"/>
      <c r="F541" s="23"/>
      <c r="H541" s="117"/>
      <c r="I541" s="117"/>
    </row>
    <row r="542" spans="2:9">
      <c r="B542" s="184"/>
      <c r="D542" s="183"/>
      <c r="F542" s="23"/>
      <c r="H542" s="117"/>
      <c r="I542" s="117"/>
    </row>
    <row r="543" spans="2:9">
      <c r="B543" s="184"/>
      <c r="D543" s="183"/>
      <c r="F543" s="23"/>
      <c r="H543" s="117"/>
      <c r="I543" s="117"/>
    </row>
    <row r="544" spans="2:9">
      <c r="B544" s="184"/>
      <c r="D544" s="183"/>
      <c r="F544" s="23"/>
      <c r="H544" s="117"/>
      <c r="I544" s="117"/>
    </row>
    <row r="545" spans="2:9">
      <c r="B545" s="184"/>
      <c r="D545" s="183"/>
      <c r="F545" s="23"/>
      <c r="H545" s="117"/>
      <c r="I545" s="117"/>
    </row>
    <row r="546" spans="2:9">
      <c r="B546" s="184"/>
      <c r="D546" s="183"/>
      <c r="F546" s="23"/>
      <c r="H546" s="117"/>
      <c r="I546" s="117"/>
    </row>
    <row r="547" spans="2:9">
      <c r="B547" s="184"/>
      <c r="D547" s="183"/>
      <c r="F547" s="23"/>
      <c r="H547" s="117"/>
      <c r="I547" s="117"/>
    </row>
    <row r="548" spans="2:9">
      <c r="B548" s="184"/>
      <c r="D548" s="183"/>
      <c r="F548" s="23"/>
      <c r="H548" s="117"/>
      <c r="I548" s="117"/>
    </row>
    <row r="549" spans="2:9">
      <c r="B549" s="184"/>
      <c r="D549" s="183"/>
      <c r="F549" s="23"/>
      <c r="H549" s="117"/>
      <c r="I549" s="117"/>
    </row>
    <row r="550" spans="2:9">
      <c r="B550" s="184"/>
      <c r="D550" s="183"/>
      <c r="F550" s="23"/>
      <c r="H550" s="117"/>
      <c r="I550" s="117"/>
    </row>
    <row r="551" spans="2:9">
      <c r="B551" s="184"/>
      <c r="D551" s="183"/>
      <c r="F551" s="23"/>
      <c r="H551" s="117"/>
      <c r="I551" s="117"/>
    </row>
    <row r="552" spans="2:9">
      <c r="B552" s="184"/>
      <c r="D552" s="183"/>
      <c r="F552" s="23"/>
      <c r="H552" s="117"/>
      <c r="I552" s="117"/>
    </row>
    <row r="553" spans="2:9">
      <c r="B553" s="184"/>
      <c r="D553" s="183"/>
      <c r="F553" s="23"/>
      <c r="H553" s="117"/>
      <c r="I553" s="117"/>
    </row>
    <row r="554" spans="2:9">
      <c r="B554" s="184"/>
      <c r="D554" s="183"/>
      <c r="F554" s="23"/>
      <c r="H554" s="117"/>
      <c r="I554" s="117"/>
    </row>
    <row r="555" spans="2:9">
      <c r="B555" s="184"/>
      <c r="D555" s="183"/>
      <c r="F555" s="23"/>
      <c r="H555" s="117"/>
      <c r="I555" s="117"/>
    </row>
    <row r="556" spans="2:9">
      <c r="B556" s="184"/>
      <c r="D556" s="183"/>
      <c r="F556" s="23"/>
      <c r="H556" s="117"/>
      <c r="I556" s="117"/>
    </row>
    <row r="557" spans="2:9">
      <c r="B557" s="184"/>
      <c r="D557" s="183"/>
      <c r="F557" s="23"/>
      <c r="H557" s="117"/>
      <c r="I557" s="117"/>
    </row>
    <row r="558" spans="2:9">
      <c r="B558" s="184"/>
      <c r="D558" s="183"/>
      <c r="F558" s="23"/>
      <c r="H558" s="117"/>
      <c r="I558" s="117"/>
    </row>
    <row r="559" spans="2:9">
      <c r="B559" s="184"/>
      <c r="D559" s="183"/>
      <c r="F559" s="23"/>
      <c r="H559" s="117"/>
      <c r="I559" s="117"/>
    </row>
    <row r="560" spans="2:9">
      <c r="B560" s="184"/>
      <c r="D560" s="183"/>
      <c r="F560" s="23"/>
      <c r="H560" s="117"/>
      <c r="I560" s="117"/>
    </row>
    <row r="561" spans="2:9">
      <c r="B561" s="184"/>
      <c r="D561" s="183"/>
      <c r="F561" s="23"/>
      <c r="H561" s="117"/>
      <c r="I561" s="117"/>
    </row>
    <row r="562" spans="2:9">
      <c r="B562" s="184"/>
      <c r="D562" s="183"/>
      <c r="F562" s="23"/>
      <c r="H562" s="117"/>
      <c r="I562" s="117"/>
    </row>
    <row r="563" spans="2:9">
      <c r="B563" s="184"/>
      <c r="D563" s="183"/>
      <c r="F563" s="23"/>
      <c r="H563" s="117"/>
      <c r="I563" s="117"/>
    </row>
    <row r="564" spans="2:9">
      <c r="B564" s="184"/>
      <c r="D564" s="183"/>
      <c r="F564" s="23"/>
      <c r="H564" s="117"/>
      <c r="I564" s="117"/>
    </row>
    <row r="565" spans="2:9">
      <c r="B565" s="184"/>
      <c r="D565" s="183"/>
      <c r="F565" s="23"/>
      <c r="H565" s="117"/>
      <c r="I565" s="117"/>
    </row>
    <row r="566" spans="2:9">
      <c r="B566" s="184"/>
      <c r="D566" s="183"/>
      <c r="F566" s="23"/>
      <c r="H566" s="117"/>
      <c r="I566" s="117"/>
    </row>
    <row r="567" spans="2:9">
      <c r="B567" s="184"/>
      <c r="D567" s="183"/>
      <c r="F567" s="23"/>
      <c r="H567" s="117"/>
      <c r="I567" s="117"/>
    </row>
    <row r="568" spans="2:9">
      <c r="B568" s="184"/>
      <c r="D568" s="183"/>
      <c r="F568" s="23"/>
      <c r="H568" s="117"/>
      <c r="I568" s="117"/>
    </row>
    <row r="569" spans="2:9">
      <c r="B569" s="184"/>
      <c r="D569" s="183"/>
      <c r="F569" s="23"/>
      <c r="H569" s="117"/>
      <c r="I569" s="117"/>
    </row>
    <row r="570" spans="2:9">
      <c r="B570" s="184"/>
      <c r="D570" s="183"/>
      <c r="F570" s="23"/>
      <c r="H570" s="117"/>
      <c r="I570" s="117"/>
    </row>
    <row r="571" spans="2:9">
      <c r="B571" s="184"/>
      <c r="D571" s="183"/>
      <c r="F571" s="23"/>
      <c r="H571" s="117"/>
      <c r="I571" s="117"/>
    </row>
    <row r="572" spans="2:9">
      <c r="B572" s="184"/>
      <c r="D572" s="183"/>
      <c r="F572" s="23"/>
      <c r="H572" s="117"/>
      <c r="I572" s="117"/>
    </row>
    <row r="573" spans="2:9">
      <c r="B573" s="184"/>
      <c r="D573" s="183"/>
      <c r="F573" s="23"/>
      <c r="H573" s="117"/>
      <c r="I573" s="117"/>
    </row>
    <row r="574" spans="2:9">
      <c r="B574" s="184"/>
      <c r="D574" s="183"/>
      <c r="F574" s="23"/>
      <c r="H574" s="117"/>
      <c r="I574" s="117"/>
    </row>
    <row r="575" spans="2:9">
      <c r="B575" s="184"/>
      <c r="D575" s="183"/>
      <c r="F575" s="23"/>
      <c r="H575" s="117"/>
      <c r="I575" s="117"/>
    </row>
    <row r="576" spans="2:9">
      <c r="B576" s="184"/>
      <c r="D576" s="183"/>
      <c r="F576" s="23"/>
      <c r="H576" s="117"/>
      <c r="I576" s="117"/>
    </row>
    <row r="577" spans="2:9">
      <c r="B577" s="184"/>
      <c r="D577" s="183"/>
      <c r="F577" s="23"/>
      <c r="H577" s="117"/>
      <c r="I577" s="117"/>
    </row>
    <row r="578" spans="2:9">
      <c r="B578" s="184"/>
      <c r="D578" s="183"/>
      <c r="F578" s="23"/>
      <c r="H578" s="117"/>
      <c r="I578" s="117"/>
    </row>
    <row r="579" spans="2:9">
      <c r="B579" s="184"/>
      <c r="D579" s="183"/>
      <c r="F579" s="23"/>
      <c r="H579" s="117"/>
      <c r="I579" s="117"/>
    </row>
    <row r="580" spans="2:9">
      <c r="B580" s="184"/>
      <c r="D580" s="183"/>
      <c r="F580" s="23"/>
      <c r="H580" s="117"/>
      <c r="I580" s="117"/>
    </row>
    <row r="581" spans="2:9">
      <c r="B581" s="184"/>
      <c r="D581" s="183"/>
      <c r="F581" s="23"/>
      <c r="H581" s="117"/>
      <c r="I581" s="117"/>
    </row>
    <row r="582" spans="2:9">
      <c r="B582" s="184"/>
      <c r="D582" s="183"/>
      <c r="F582" s="23"/>
      <c r="H582" s="117"/>
      <c r="I582" s="117"/>
    </row>
    <row r="583" spans="2:9">
      <c r="B583" s="184"/>
      <c r="D583" s="183"/>
      <c r="F583" s="23"/>
      <c r="H583" s="117"/>
      <c r="I583" s="117"/>
    </row>
    <row r="584" spans="2:9">
      <c r="B584" s="184"/>
      <c r="D584" s="183"/>
      <c r="F584" s="23"/>
      <c r="H584" s="117"/>
      <c r="I584" s="117"/>
    </row>
    <row r="585" spans="2:9">
      <c r="B585" s="184"/>
      <c r="D585" s="183"/>
      <c r="F585" s="23"/>
      <c r="H585" s="117"/>
      <c r="I585" s="117"/>
    </row>
    <row r="586" spans="2:9">
      <c r="B586" s="184"/>
      <c r="D586" s="183"/>
      <c r="F586" s="23"/>
      <c r="H586" s="117"/>
      <c r="I586" s="117"/>
    </row>
    <row r="587" spans="2:9">
      <c r="B587" s="184"/>
      <c r="D587" s="183"/>
      <c r="F587" s="23"/>
      <c r="H587" s="117"/>
      <c r="I587" s="117"/>
    </row>
    <row r="588" spans="2:9">
      <c r="B588" s="184"/>
      <c r="D588" s="183"/>
      <c r="F588" s="23"/>
      <c r="H588" s="117"/>
      <c r="I588" s="117"/>
    </row>
    <row r="589" spans="2:9">
      <c r="B589" s="184"/>
      <c r="D589" s="183"/>
      <c r="F589" s="23"/>
      <c r="H589" s="117"/>
      <c r="I589" s="117"/>
    </row>
    <row r="590" spans="2:9">
      <c r="B590" s="184"/>
      <c r="D590" s="183"/>
      <c r="F590" s="23"/>
      <c r="H590" s="117"/>
      <c r="I590" s="117"/>
    </row>
    <row r="591" spans="2:9">
      <c r="B591" s="184"/>
      <c r="D591" s="183"/>
      <c r="F591" s="23"/>
      <c r="H591" s="117"/>
      <c r="I591" s="117"/>
    </row>
    <row r="592" spans="2:9">
      <c r="B592" s="184"/>
      <c r="D592" s="183"/>
      <c r="F592" s="23"/>
      <c r="H592" s="117"/>
      <c r="I592" s="117"/>
    </row>
    <row r="593" spans="2:9">
      <c r="B593" s="184"/>
      <c r="D593" s="183"/>
      <c r="F593" s="23"/>
      <c r="H593" s="117"/>
      <c r="I593" s="117"/>
    </row>
    <row r="594" spans="2:9">
      <c r="B594" s="184"/>
      <c r="D594" s="183"/>
      <c r="F594" s="23"/>
      <c r="H594" s="117"/>
      <c r="I594" s="117"/>
    </row>
    <row r="595" spans="2:9">
      <c r="B595" s="184"/>
      <c r="D595" s="183"/>
      <c r="F595" s="23"/>
      <c r="H595" s="117"/>
      <c r="I595" s="117"/>
    </row>
    <row r="596" spans="2:9">
      <c r="B596" s="184"/>
      <c r="D596" s="183"/>
      <c r="F596" s="23"/>
      <c r="H596" s="117"/>
      <c r="I596" s="117"/>
    </row>
    <row r="597" spans="2:9">
      <c r="B597" s="184"/>
      <c r="D597" s="183"/>
      <c r="F597" s="23"/>
      <c r="H597" s="117"/>
      <c r="I597" s="117"/>
    </row>
    <row r="598" spans="2:9">
      <c r="B598" s="184"/>
      <c r="D598" s="183"/>
      <c r="F598" s="23"/>
      <c r="H598" s="117"/>
      <c r="I598" s="117"/>
    </row>
    <row r="599" spans="2:9">
      <c r="B599" s="184"/>
      <c r="D599" s="183"/>
      <c r="F599" s="23"/>
      <c r="H599" s="117"/>
      <c r="I599" s="117"/>
    </row>
    <row r="600" spans="2:9">
      <c r="B600" s="184"/>
      <c r="D600" s="183"/>
      <c r="F600" s="23"/>
      <c r="H600" s="117"/>
      <c r="I600" s="117"/>
    </row>
    <row r="601" spans="2:9">
      <c r="B601" s="184"/>
      <c r="D601" s="183"/>
      <c r="F601" s="23"/>
      <c r="H601" s="117"/>
      <c r="I601" s="117"/>
    </row>
    <row r="602" spans="2:9">
      <c r="B602" s="184"/>
      <c r="D602" s="183"/>
      <c r="F602" s="23"/>
      <c r="H602" s="117"/>
      <c r="I602" s="117"/>
    </row>
    <row r="603" spans="2:9">
      <c r="B603" s="184"/>
      <c r="D603" s="183"/>
      <c r="F603" s="23"/>
      <c r="H603" s="117"/>
      <c r="I603" s="117"/>
    </row>
    <row r="604" spans="2:9">
      <c r="B604" s="184"/>
      <c r="D604" s="183"/>
      <c r="F604" s="23"/>
      <c r="H604" s="117"/>
      <c r="I604" s="117"/>
    </row>
    <row r="605" spans="2:9">
      <c r="B605" s="184"/>
      <c r="D605" s="183"/>
      <c r="F605" s="23"/>
      <c r="H605" s="117"/>
      <c r="I605" s="117"/>
    </row>
    <row r="606" spans="2:9">
      <c r="B606" s="184"/>
      <c r="D606" s="183"/>
      <c r="F606" s="23"/>
      <c r="H606" s="117"/>
      <c r="I606" s="117"/>
    </row>
    <row r="607" spans="2:9">
      <c r="B607" s="184"/>
      <c r="D607" s="183"/>
      <c r="F607" s="23"/>
      <c r="H607" s="117"/>
      <c r="I607" s="117"/>
    </row>
    <row r="608" spans="2:9">
      <c r="B608" s="184"/>
      <c r="D608" s="183"/>
      <c r="F608" s="23"/>
      <c r="H608" s="117"/>
      <c r="I608" s="117"/>
    </row>
    <row r="609" spans="2:9">
      <c r="B609" s="184"/>
      <c r="D609" s="183"/>
      <c r="F609" s="23"/>
      <c r="H609" s="117"/>
      <c r="I609" s="117"/>
    </row>
    <row r="610" spans="2:9">
      <c r="B610" s="184"/>
      <c r="D610" s="183"/>
      <c r="F610" s="23"/>
      <c r="H610" s="117"/>
      <c r="I610" s="117"/>
    </row>
    <row r="611" spans="2:9">
      <c r="B611" s="184"/>
      <c r="D611" s="183"/>
      <c r="F611" s="23"/>
      <c r="H611" s="117"/>
      <c r="I611" s="117"/>
    </row>
    <row r="612" spans="2:9">
      <c r="B612" s="184"/>
      <c r="D612" s="183"/>
      <c r="F612" s="23"/>
      <c r="H612" s="117"/>
      <c r="I612" s="117"/>
    </row>
    <row r="613" spans="2:9">
      <c r="B613" s="184"/>
      <c r="D613" s="183"/>
      <c r="F613" s="23"/>
      <c r="H613" s="117"/>
      <c r="I613" s="117"/>
    </row>
    <row r="614" spans="2:9">
      <c r="B614" s="184"/>
      <c r="D614" s="183"/>
      <c r="F614" s="23"/>
      <c r="H614" s="117"/>
      <c r="I614" s="117"/>
    </row>
    <row r="615" spans="2:9">
      <c r="B615" s="184"/>
      <c r="D615" s="183"/>
      <c r="F615" s="23"/>
      <c r="H615" s="117"/>
      <c r="I615" s="117"/>
    </row>
    <row r="616" spans="2:9">
      <c r="B616" s="184"/>
      <c r="D616" s="183"/>
      <c r="F616" s="23"/>
      <c r="H616" s="117"/>
      <c r="I616" s="117"/>
    </row>
    <row r="617" spans="2:9">
      <c r="B617" s="184"/>
      <c r="D617" s="183"/>
      <c r="F617" s="23"/>
      <c r="H617" s="117"/>
      <c r="I617" s="117"/>
    </row>
    <row r="618" spans="2:9">
      <c r="B618" s="184"/>
      <c r="D618" s="183"/>
      <c r="F618" s="23"/>
      <c r="H618" s="117"/>
      <c r="I618" s="117"/>
    </row>
    <row r="619" spans="2:9">
      <c r="B619" s="184"/>
      <c r="D619" s="183"/>
      <c r="F619" s="23"/>
      <c r="H619" s="117"/>
      <c r="I619" s="117"/>
    </row>
    <row r="620" spans="2:9">
      <c r="B620" s="184"/>
      <c r="D620" s="183"/>
      <c r="F620" s="23"/>
      <c r="H620" s="117"/>
      <c r="I620" s="117"/>
    </row>
    <row r="621" spans="2:9">
      <c r="B621" s="184"/>
      <c r="D621" s="183"/>
      <c r="F621" s="23"/>
      <c r="H621" s="117"/>
      <c r="I621" s="117"/>
    </row>
    <row r="622" spans="2:9">
      <c r="B622" s="184"/>
      <c r="D622" s="183"/>
      <c r="F622" s="23"/>
      <c r="H622" s="117"/>
      <c r="I622" s="117"/>
    </row>
    <row r="623" spans="2:9">
      <c r="B623" s="184"/>
      <c r="D623" s="183"/>
      <c r="F623" s="23"/>
      <c r="H623" s="117"/>
      <c r="I623" s="117"/>
    </row>
    <row r="624" spans="2:9">
      <c r="B624" s="184"/>
      <c r="D624" s="183"/>
      <c r="F624" s="23"/>
      <c r="H624" s="117"/>
      <c r="I624" s="117"/>
    </row>
    <row r="625" spans="2:9">
      <c r="B625" s="184"/>
      <c r="D625" s="183"/>
      <c r="F625" s="23"/>
      <c r="H625" s="117"/>
      <c r="I625" s="117"/>
    </row>
    <row r="626" spans="2:9">
      <c r="B626" s="184"/>
      <c r="D626" s="183"/>
      <c r="F626" s="23"/>
      <c r="H626" s="117"/>
      <c r="I626" s="117"/>
    </row>
    <row r="627" spans="2:9">
      <c r="B627" s="184"/>
      <c r="D627" s="183"/>
      <c r="F627" s="23"/>
      <c r="H627" s="117"/>
      <c r="I627" s="117"/>
    </row>
    <row r="628" spans="2:9">
      <c r="B628" s="184"/>
      <c r="D628" s="183"/>
      <c r="F628" s="23"/>
      <c r="H628" s="117"/>
      <c r="I628" s="117"/>
    </row>
    <row r="629" spans="2:9">
      <c r="B629" s="184"/>
      <c r="D629" s="183"/>
      <c r="F629" s="23"/>
      <c r="H629" s="117"/>
      <c r="I629" s="117"/>
    </row>
    <row r="630" spans="2:9">
      <c r="B630" s="184"/>
      <c r="D630" s="183"/>
      <c r="F630" s="23"/>
      <c r="H630" s="117"/>
      <c r="I630" s="117"/>
    </row>
    <row r="631" spans="2:9">
      <c r="B631" s="184"/>
      <c r="D631" s="183"/>
      <c r="F631" s="23"/>
      <c r="H631" s="117"/>
      <c r="I631" s="117"/>
    </row>
    <row r="632" spans="2:9">
      <c r="B632" s="184"/>
      <c r="D632" s="183"/>
      <c r="F632" s="23"/>
      <c r="H632" s="117"/>
      <c r="I632" s="117"/>
    </row>
    <row r="633" spans="2:9">
      <c r="B633" s="184"/>
      <c r="D633" s="183"/>
      <c r="F633" s="23"/>
      <c r="H633" s="117"/>
      <c r="I633" s="117"/>
    </row>
    <row r="634" spans="2:9">
      <c r="B634" s="184"/>
      <c r="D634" s="183"/>
      <c r="F634" s="23"/>
      <c r="H634" s="117"/>
      <c r="I634" s="117"/>
    </row>
    <row r="635" spans="2:9">
      <c r="B635" s="184"/>
      <c r="D635" s="183"/>
      <c r="F635" s="23"/>
      <c r="H635" s="117"/>
      <c r="I635" s="117"/>
    </row>
    <row r="636" spans="2:9">
      <c r="B636" s="184"/>
      <c r="D636" s="183"/>
      <c r="F636" s="23"/>
      <c r="H636" s="117"/>
      <c r="I636" s="117"/>
    </row>
    <row r="637" spans="2:9">
      <c r="B637" s="184"/>
      <c r="D637" s="183"/>
      <c r="F637" s="23"/>
      <c r="H637" s="117"/>
      <c r="I637" s="117"/>
    </row>
    <row r="638" spans="2:9">
      <c r="B638" s="184"/>
      <c r="D638" s="183"/>
      <c r="F638" s="23"/>
      <c r="H638" s="117"/>
      <c r="I638" s="117"/>
    </row>
    <row r="639" spans="2:9">
      <c r="B639" s="184"/>
      <c r="D639" s="183"/>
      <c r="F639" s="23"/>
      <c r="H639" s="117"/>
      <c r="I639" s="117"/>
    </row>
    <row r="640" spans="2:9">
      <c r="B640" s="184"/>
      <c r="D640" s="183"/>
      <c r="F640" s="23"/>
      <c r="H640" s="117"/>
      <c r="I640" s="117"/>
    </row>
    <row r="641" spans="2:9">
      <c r="B641" s="184"/>
      <c r="D641" s="183"/>
      <c r="F641" s="23"/>
      <c r="H641" s="117"/>
      <c r="I641" s="117"/>
    </row>
    <row r="642" spans="2:9">
      <c r="B642" s="184"/>
      <c r="D642" s="183"/>
      <c r="F642" s="23"/>
      <c r="H642" s="117"/>
      <c r="I642" s="117"/>
    </row>
    <row r="643" spans="2:9">
      <c r="B643" s="184"/>
      <c r="D643" s="183"/>
      <c r="F643" s="23"/>
      <c r="H643" s="117"/>
      <c r="I643" s="117"/>
    </row>
    <row r="644" spans="2:9">
      <c r="B644" s="184"/>
      <c r="D644" s="183"/>
      <c r="F644" s="23"/>
      <c r="H644" s="117"/>
      <c r="I644" s="117"/>
    </row>
    <row r="645" spans="2:9">
      <c r="B645" s="184"/>
      <c r="D645" s="183"/>
      <c r="F645" s="23"/>
      <c r="H645" s="117"/>
      <c r="I645" s="117"/>
    </row>
    <row r="646" spans="2:9">
      <c r="B646" s="184"/>
      <c r="D646" s="183"/>
      <c r="F646" s="23"/>
      <c r="H646" s="117"/>
      <c r="I646" s="117"/>
    </row>
    <row r="647" spans="2:9">
      <c r="B647" s="184"/>
      <c r="D647" s="183"/>
      <c r="F647" s="23"/>
      <c r="H647" s="117"/>
      <c r="I647" s="117"/>
    </row>
    <row r="648" spans="2:9">
      <c r="B648" s="184"/>
      <c r="D648" s="183"/>
      <c r="F648" s="23"/>
      <c r="H648" s="117"/>
      <c r="I648" s="117"/>
    </row>
    <row r="649" spans="2:9">
      <c r="B649" s="184"/>
      <c r="D649" s="183"/>
      <c r="F649" s="23"/>
      <c r="H649" s="117"/>
      <c r="I649" s="117"/>
    </row>
    <row r="650" spans="2:9">
      <c r="B650" s="184"/>
      <c r="D650" s="183"/>
      <c r="F650" s="23"/>
      <c r="H650" s="117"/>
      <c r="I650" s="117"/>
    </row>
    <row r="651" spans="2:9">
      <c r="B651" s="184"/>
      <c r="D651" s="183"/>
      <c r="F651" s="23"/>
      <c r="H651" s="117"/>
      <c r="I651" s="117"/>
    </row>
    <row r="652" spans="2:9">
      <c r="B652" s="184"/>
      <c r="D652" s="183"/>
      <c r="F652" s="23"/>
      <c r="H652" s="117"/>
      <c r="I652" s="117"/>
    </row>
    <row r="653" spans="2:9">
      <c r="B653" s="184"/>
      <c r="D653" s="183"/>
      <c r="F653" s="23"/>
      <c r="H653" s="117"/>
      <c r="I653" s="117"/>
    </row>
    <row r="654" spans="2:9">
      <c r="B654" s="184"/>
      <c r="D654" s="183"/>
      <c r="F654" s="23"/>
      <c r="H654" s="117"/>
      <c r="I654" s="117"/>
    </row>
    <row r="655" spans="2:9">
      <c r="B655" s="184"/>
      <c r="D655" s="183"/>
      <c r="F655" s="23"/>
      <c r="H655" s="117"/>
      <c r="I655" s="117"/>
    </row>
    <row r="656" spans="2:9">
      <c r="B656" s="184"/>
      <c r="D656" s="183"/>
      <c r="F656" s="23"/>
      <c r="H656" s="117"/>
      <c r="I656" s="117"/>
    </row>
    <row r="657" spans="2:9">
      <c r="B657" s="184"/>
      <c r="D657" s="183"/>
      <c r="F657" s="23"/>
      <c r="H657" s="117"/>
      <c r="I657" s="117"/>
    </row>
    <row r="658" spans="2:9">
      <c r="B658" s="184"/>
      <c r="D658" s="183"/>
      <c r="F658" s="23"/>
      <c r="H658" s="117"/>
      <c r="I658" s="117"/>
    </row>
    <row r="659" spans="2:9">
      <c r="B659" s="184"/>
      <c r="D659" s="183"/>
      <c r="F659" s="23"/>
      <c r="H659" s="117"/>
      <c r="I659" s="117"/>
    </row>
    <row r="660" spans="2:9">
      <c r="B660" s="184"/>
      <c r="D660" s="183"/>
      <c r="F660" s="23"/>
      <c r="H660" s="117"/>
      <c r="I660" s="117"/>
    </row>
    <row r="661" spans="2:9">
      <c r="B661" s="184"/>
      <c r="D661" s="183"/>
      <c r="F661" s="23"/>
      <c r="H661" s="117"/>
      <c r="I661" s="117"/>
    </row>
    <row r="662" spans="2:9">
      <c r="B662" s="184"/>
      <c r="D662" s="183"/>
      <c r="F662" s="23"/>
      <c r="H662" s="117"/>
      <c r="I662" s="117"/>
    </row>
    <row r="663" spans="2:9">
      <c r="B663" s="184"/>
      <c r="D663" s="183"/>
      <c r="F663" s="23"/>
      <c r="H663" s="117"/>
      <c r="I663" s="117"/>
    </row>
    <row r="664" spans="2:9">
      <c r="B664" s="184"/>
      <c r="D664" s="183"/>
      <c r="F664" s="23"/>
      <c r="H664" s="117"/>
      <c r="I664" s="117"/>
    </row>
    <row r="665" spans="2:9">
      <c r="B665" s="184"/>
      <c r="D665" s="183"/>
      <c r="F665" s="23"/>
      <c r="H665" s="117"/>
      <c r="I665" s="117"/>
    </row>
    <row r="666" spans="2:9">
      <c r="B666" s="184"/>
      <c r="D666" s="183"/>
      <c r="F666" s="23"/>
      <c r="H666" s="117"/>
      <c r="I666" s="117"/>
    </row>
    <row r="667" spans="2:9">
      <c r="B667" s="184"/>
      <c r="D667" s="183"/>
      <c r="F667" s="23"/>
      <c r="H667" s="117"/>
      <c r="I667" s="117"/>
    </row>
    <row r="668" spans="2:9">
      <c r="B668" s="184"/>
      <c r="D668" s="183"/>
      <c r="F668" s="23"/>
      <c r="H668" s="117"/>
      <c r="I668" s="117"/>
    </row>
    <row r="669" spans="2:9">
      <c r="B669" s="184"/>
      <c r="D669" s="183"/>
      <c r="F669" s="23"/>
      <c r="H669" s="117"/>
      <c r="I669" s="117"/>
    </row>
    <row r="670" spans="2:9">
      <c r="B670" s="184"/>
      <c r="D670" s="183"/>
      <c r="F670" s="23"/>
      <c r="H670" s="117"/>
      <c r="I670" s="117"/>
    </row>
    <row r="671" spans="2:9">
      <c r="B671" s="184"/>
      <c r="D671" s="183"/>
      <c r="F671" s="23"/>
      <c r="H671" s="117"/>
      <c r="I671" s="117"/>
    </row>
    <row r="672" spans="2:9">
      <c r="B672" s="184"/>
      <c r="D672" s="183"/>
      <c r="F672" s="23"/>
      <c r="H672" s="117"/>
      <c r="I672" s="117"/>
    </row>
    <row r="673" spans="2:9">
      <c r="B673" s="184"/>
      <c r="D673" s="183"/>
      <c r="F673" s="23"/>
      <c r="H673" s="117"/>
      <c r="I673" s="117"/>
    </row>
    <row r="674" spans="2:9">
      <c r="B674" s="184"/>
      <c r="D674" s="183"/>
      <c r="F674" s="23"/>
      <c r="H674" s="117"/>
      <c r="I674" s="117"/>
    </row>
    <row r="675" spans="2:9">
      <c r="B675" s="184"/>
      <c r="D675" s="183"/>
      <c r="F675" s="23"/>
      <c r="H675" s="117"/>
      <c r="I675" s="117"/>
    </row>
    <row r="676" spans="2:9">
      <c r="B676" s="184"/>
      <c r="D676" s="183"/>
      <c r="F676" s="23"/>
      <c r="H676" s="117"/>
      <c r="I676" s="117"/>
    </row>
    <row r="677" spans="2:9">
      <c r="B677" s="184"/>
      <c r="D677" s="183"/>
      <c r="F677" s="23"/>
      <c r="H677" s="117"/>
      <c r="I677" s="117"/>
    </row>
    <row r="678" spans="2:9">
      <c r="B678" s="184"/>
      <c r="D678" s="183"/>
      <c r="F678" s="23"/>
      <c r="H678" s="117"/>
      <c r="I678" s="117"/>
    </row>
    <row r="679" spans="2:9">
      <c r="B679" s="184"/>
      <c r="D679" s="183"/>
      <c r="F679" s="23"/>
      <c r="H679" s="117"/>
      <c r="I679" s="117"/>
    </row>
    <row r="680" spans="2:9">
      <c r="B680" s="184"/>
      <c r="D680" s="183"/>
      <c r="F680" s="23"/>
      <c r="H680" s="117"/>
      <c r="I680" s="117"/>
    </row>
    <row r="681" spans="2:9">
      <c r="B681" s="184"/>
      <c r="D681" s="183"/>
      <c r="F681" s="23"/>
      <c r="H681" s="117"/>
      <c r="I681" s="117"/>
    </row>
    <row r="682" spans="2:9">
      <c r="B682" s="184"/>
      <c r="D682" s="183"/>
      <c r="F682" s="23"/>
      <c r="H682" s="117"/>
      <c r="I682" s="117"/>
    </row>
    <row r="683" spans="2:9">
      <c r="B683" s="184"/>
      <c r="D683" s="183"/>
      <c r="F683" s="23"/>
      <c r="H683" s="117"/>
      <c r="I683" s="117"/>
    </row>
    <row r="684" spans="2:9">
      <c r="B684" s="184"/>
      <c r="D684" s="183"/>
      <c r="F684" s="23"/>
      <c r="H684" s="117"/>
      <c r="I684" s="117"/>
    </row>
    <row r="685" spans="2:9">
      <c r="B685" s="184"/>
      <c r="D685" s="183"/>
      <c r="F685" s="23"/>
      <c r="H685" s="117"/>
      <c r="I685" s="117"/>
    </row>
    <row r="686" spans="2:9">
      <c r="B686" s="184"/>
      <c r="D686" s="183"/>
      <c r="F686" s="23"/>
      <c r="H686" s="117"/>
      <c r="I686" s="117"/>
    </row>
    <row r="687" spans="2:9">
      <c r="B687" s="184"/>
      <c r="D687" s="183"/>
      <c r="F687" s="23"/>
      <c r="H687" s="117"/>
      <c r="I687" s="117"/>
    </row>
    <row r="688" spans="2:9">
      <c r="B688" s="184"/>
      <c r="D688" s="183"/>
      <c r="F688" s="23"/>
      <c r="H688" s="117"/>
      <c r="I688" s="117"/>
    </row>
    <row r="689" spans="2:9">
      <c r="B689" s="184"/>
      <c r="D689" s="183"/>
      <c r="F689" s="23"/>
      <c r="H689" s="117"/>
      <c r="I689" s="117"/>
    </row>
    <row r="690" spans="2:9">
      <c r="B690" s="184"/>
      <c r="D690" s="183"/>
      <c r="F690" s="23"/>
      <c r="H690" s="117"/>
      <c r="I690" s="117"/>
    </row>
    <row r="691" spans="2:9">
      <c r="B691" s="184"/>
      <c r="D691" s="183"/>
      <c r="F691" s="23"/>
      <c r="H691" s="117"/>
      <c r="I691" s="117"/>
    </row>
    <row r="692" spans="2:9">
      <c r="B692" s="184"/>
      <c r="D692" s="183"/>
      <c r="F692" s="23"/>
      <c r="H692" s="117"/>
      <c r="I692" s="117"/>
    </row>
    <row r="693" spans="2:9">
      <c r="B693" s="184"/>
      <c r="D693" s="183"/>
      <c r="F693" s="23"/>
      <c r="H693" s="117"/>
      <c r="I693" s="117"/>
    </row>
    <row r="694" spans="2:9">
      <c r="B694" s="184"/>
      <c r="D694" s="183"/>
      <c r="F694" s="23"/>
      <c r="H694" s="117"/>
      <c r="I694" s="117"/>
    </row>
    <row r="695" spans="2:9">
      <c r="B695" s="184"/>
      <c r="D695" s="183"/>
      <c r="F695" s="23"/>
      <c r="H695" s="117"/>
      <c r="I695" s="117"/>
    </row>
    <row r="696" spans="2:9">
      <c r="B696" s="184"/>
      <c r="D696" s="183"/>
      <c r="F696" s="23"/>
      <c r="H696" s="117"/>
      <c r="I696" s="117"/>
    </row>
    <row r="697" spans="2:9">
      <c r="B697" s="184"/>
      <c r="D697" s="183"/>
      <c r="F697" s="23"/>
      <c r="H697" s="117"/>
      <c r="I697" s="117"/>
    </row>
    <row r="698" spans="2:9">
      <c r="B698" s="184"/>
      <c r="D698" s="183"/>
      <c r="F698" s="23"/>
      <c r="H698" s="117"/>
      <c r="I698" s="117"/>
    </row>
    <row r="699" spans="2:9">
      <c r="B699" s="184"/>
      <c r="D699" s="183"/>
      <c r="F699" s="23"/>
      <c r="H699" s="117"/>
      <c r="I699" s="117"/>
    </row>
    <row r="700" spans="2:9">
      <c r="B700" s="184"/>
      <c r="D700" s="183"/>
      <c r="F700" s="23"/>
      <c r="H700" s="117"/>
      <c r="I700" s="117"/>
    </row>
    <row r="701" spans="2:9">
      <c r="B701" s="184"/>
      <c r="D701" s="183"/>
      <c r="F701" s="23"/>
      <c r="H701" s="117"/>
      <c r="I701" s="117"/>
    </row>
    <row r="702" spans="2:9">
      <c r="B702" s="184"/>
      <c r="D702" s="183"/>
      <c r="F702" s="23"/>
      <c r="H702" s="117"/>
      <c r="I702" s="117"/>
    </row>
    <row r="703" spans="2:9">
      <c r="B703" s="184"/>
      <c r="D703" s="183"/>
      <c r="F703" s="23"/>
      <c r="H703" s="117"/>
      <c r="I703" s="117"/>
    </row>
    <row r="704" spans="2:9">
      <c r="B704" s="184"/>
      <c r="D704" s="183"/>
      <c r="F704" s="23"/>
      <c r="H704" s="117"/>
      <c r="I704" s="117"/>
    </row>
    <row r="705" spans="2:9">
      <c r="B705" s="184"/>
      <c r="D705" s="183"/>
      <c r="F705" s="23"/>
      <c r="H705" s="117"/>
      <c r="I705" s="117"/>
    </row>
    <row r="706" spans="2:9">
      <c r="B706" s="184"/>
      <c r="D706" s="183"/>
      <c r="F706" s="23"/>
      <c r="H706" s="117"/>
      <c r="I706" s="117"/>
    </row>
    <row r="707" spans="2:9">
      <c r="B707" s="184"/>
      <c r="D707" s="183"/>
      <c r="F707" s="23"/>
      <c r="H707" s="117"/>
      <c r="I707" s="117"/>
    </row>
    <row r="708" spans="2:9">
      <c r="B708" s="184"/>
      <c r="D708" s="183"/>
      <c r="F708" s="23"/>
      <c r="H708" s="117"/>
      <c r="I708" s="117"/>
    </row>
    <row r="709" spans="2:9">
      <c r="B709" s="184"/>
      <c r="D709" s="183"/>
      <c r="F709" s="23"/>
      <c r="H709" s="117"/>
      <c r="I709" s="117"/>
    </row>
    <row r="710" spans="2:9">
      <c r="B710" s="184"/>
      <c r="D710" s="183"/>
      <c r="F710" s="23"/>
      <c r="H710" s="117"/>
      <c r="I710" s="117"/>
    </row>
    <row r="711" spans="2:9">
      <c r="B711" s="184"/>
      <c r="D711" s="183"/>
      <c r="F711" s="23"/>
      <c r="H711" s="117"/>
      <c r="I711" s="117"/>
    </row>
    <row r="712" spans="2:9">
      <c r="B712" s="184"/>
      <c r="D712" s="183"/>
      <c r="F712" s="23"/>
      <c r="H712" s="117"/>
      <c r="I712" s="117"/>
    </row>
    <row r="713" spans="2:9">
      <c r="B713" s="184"/>
      <c r="D713" s="183"/>
      <c r="F713" s="23"/>
      <c r="H713" s="117"/>
      <c r="I713" s="117"/>
    </row>
    <row r="714" spans="2:9">
      <c r="B714" s="184"/>
      <c r="D714" s="183"/>
      <c r="F714" s="23"/>
      <c r="H714" s="117"/>
      <c r="I714" s="117"/>
    </row>
    <row r="715" spans="2:9">
      <c r="B715" s="184"/>
      <c r="D715" s="183"/>
      <c r="F715" s="23"/>
      <c r="H715" s="117"/>
      <c r="I715" s="117"/>
    </row>
    <row r="716" spans="2:9">
      <c r="B716" s="184"/>
      <c r="D716" s="183"/>
      <c r="F716" s="23"/>
      <c r="H716" s="117"/>
      <c r="I716" s="117"/>
    </row>
    <row r="717" spans="2:9">
      <c r="B717" s="184"/>
      <c r="D717" s="183"/>
      <c r="F717" s="23"/>
      <c r="H717" s="117"/>
      <c r="I717" s="117"/>
    </row>
    <row r="718" spans="2:9">
      <c r="B718" s="184"/>
      <c r="D718" s="183"/>
      <c r="F718" s="23"/>
      <c r="H718" s="117"/>
      <c r="I718" s="117"/>
    </row>
    <row r="719" spans="2:9">
      <c r="B719" s="184"/>
      <c r="D719" s="183"/>
      <c r="F719" s="23"/>
      <c r="H719" s="117"/>
      <c r="I719" s="117"/>
    </row>
    <row r="720" spans="2:9">
      <c r="B720" s="184"/>
      <c r="D720" s="183"/>
      <c r="F720" s="23"/>
      <c r="H720" s="117"/>
      <c r="I720" s="117"/>
    </row>
    <row r="721" spans="2:9">
      <c r="B721" s="184"/>
      <c r="D721" s="183"/>
      <c r="F721" s="23"/>
      <c r="H721" s="117"/>
      <c r="I721" s="117"/>
    </row>
    <row r="722" spans="2:9">
      <c r="B722" s="184"/>
      <c r="D722" s="183"/>
      <c r="F722" s="23"/>
      <c r="H722" s="117"/>
      <c r="I722" s="117"/>
    </row>
    <row r="723" spans="2:9">
      <c r="B723" s="184"/>
      <c r="D723" s="183"/>
      <c r="F723" s="23"/>
      <c r="H723" s="117"/>
      <c r="I723" s="117"/>
    </row>
    <row r="724" spans="2:9">
      <c r="B724" s="184"/>
      <c r="D724" s="183"/>
      <c r="F724" s="23"/>
      <c r="H724" s="117"/>
      <c r="I724" s="117"/>
    </row>
    <row r="725" spans="2:9">
      <c r="B725" s="184"/>
      <c r="D725" s="183"/>
      <c r="F725" s="23"/>
      <c r="H725" s="117"/>
      <c r="I725" s="117"/>
    </row>
    <row r="726" spans="2:9">
      <c r="B726" s="184"/>
      <c r="D726" s="183"/>
      <c r="F726" s="23"/>
      <c r="H726" s="117"/>
      <c r="I726" s="117"/>
    </row>
    <row r="727" spans="2:9">
      <c r="B727" s="184"/>
      <c r="D727" s="183"/>
      <c r="F727" s="23"/>
      <c r="H727" s="117"/>
      <c r="I727" s="117"/>
    </row>
    <row r="728" spans="2:9">
      <c r="B728" s="184"/>
      <c r="D728" s="183"/>
      <c r="F728" s="23"/>
      <c r="H728" s="117"/>
      <c r="I728" s="117"/>
    </row>
    <row r="729" spans="2:9">
      <c r="B729" s="184"/>
      <c r="D729" s="183"/>
      <c r="F729" s="23"/>
      <c r="H729" s="117"/>
      <c r="I729" s="117"/>
    </row>
    <row r="730" spans="2:9">
      <c r="B730" s="184"/>
      <c r="D730" s="183"/>
      <c r="F730" s="23"/>
      <c r="H730" s="117"/>
      <c r="I730" s="117"/>
    </row>
    <row r="731" spans="2:9">
      <c r="B731" s="184"/>
      <c r="D731" s="183"/>
      <c r="F731" s="23"/>
      <c r="H731" s="117"/>
      <c r="I731" s="117"/>
    </row>
    <row r="732" spans="2:9">
      <c r="B732" s="184"/>
      <c r="D732" s="183"/>
      <c r="F732" s="23"/>
      <c r="H732" s="117"/>
      <c r="I732" s="117"/>
    </row>
    <row r="733" spans="2:9">
      <c r="B733" s="184"/>
      <c r="D733" s="183"/>
      <c r="F733" s="23"/>
      <c r="H733" s="117"/>
      <c r="I733" s="117"/>
    </row>
    <row r="734" spans="2:9">
      <c r="B734" s="184"/>
      <c r="D734" s="183"/>
      <c r="F734" s="23"/>
      <c r="H734" s="117"/>
      <c r="I734" s="117"/>
    </row>
    <row r="735" spans="2:9">
      <c r="B735" s="184"/>
      <c r="D735" s="183"/>
      <c r="F735" s="23"/>
      <c r="H735" s="117"/>
      <c r="I735" s="117"/>
    </row>
    <row r="736" spans="2:9">
      <c r="B736" s="184"/>
      <c r="D736" s="183"/>
      <c r="F736" s="23"/>
      <c r="H736" s="117"/>
      <c r="I736" s="117"/>
    </row>
    <row r="737" spans="2:9">
      <c r="B737" s="184"/>
      <c r="D737" s="183"/>
      <c r="F737" s="23"/>
      <c r="H737" s="117"/>
      <c r="I737" s="117"/>
    </row>
    <row r="738" spans="2:9">
      <c r="B738" s="184"/>
      <c r="D738" s="183"/>
      <c r="F738" s="23"/>
      <c r="H738" s="117"/>
      <c r="I738" s="117"/>
    </row>
    <row r="739" spans="2:9">
      <c r="B739" s="184"/>
      <c r="D739" s="183"/>
      <c r="F739" s="23"/>
      <c r="H739" s="117"/>
      <c r="I739" s="117"/>
    </row>
    <row r="740" spans="2:9">
      <c r="B740" s="184"/>
      <c r="D740" s="183"/>
      <c r="F740" s="23"/>
      <c r="H740" s="117"/>
      <c r="I740" s="117"/>
    </row>
    <row r="741" spans="2:9">
      <c r="B741" s="184"/>
      <c r="D741" s="183"/>
      <c r="F741" s="23"/>
      <c r="H741" s="117"/>
      <c r="I741" s="117"/>
    </row>
    <row r="742" spans="2:9">
      <c r="B742" s="184"/>
      <c r="D742" s="183"/>
      <c r="F742" s="23"/>
      <c r="H742" s="117"/>
      <c r="I742" s="117"/>
    </row>
    <row r="743" spans="2:9">
      <c r="B743" s="184"/>
      <c r="D743" s="183"/>
      <c r="F743" s="23"/>
      <c r="H743" s="117"/>
      <c r="I743" s="117"/>
    </row>
    <row r="744" spans="2:9">
      <c r="B744" s="184"/>
      <c r="D744" s="183"/>
      <c r="F744" s="23"/>
      <c r="H744" s="117"/>
      <c r="I744" s="117"/>
    </row>
    <row r="745" spans="2:9">
      <c r="B745" s="184"/>
      <c r="D745" s="183"/>
      <c r="F745" s="23"/>
      <c r="H745" s="117"/>
      <c r="I745" s="117"/>
    </row>
    <row r="746" spans="2:9">
      <c r="B746" s="184"/>
      <c r="D746" s="183"/>
      <c r="F746" s="23"/>
      <c r="H746" s="117"/>
      <c r="I746" s="117"/>
    </row>
    <row r="747" spans="2:9">
      <c r="B747" s="184"/>
      <c r="D747" s="183"/>
      <c r="F747" s="23"/>
      <c r="H747" s="117"/>
      <c r="I747" s="117"/>
    </row>
    <row r="748" spans="2:9">
      <c r="B748" s="184"/>
      <c r="D748" s="183"/>
      <c r="F748" s="23"/>
      <c r="H748" s="117"/>
      <c r="I748" s="117"/>
    </row>
    <row r="749" spans="2:9">
      <c r="B749" s="184"/>
      <c r="D749" s="183"/>
      <c r="F749" s="23"/>
      <c r="H749" s="117"/>
      <c r="I749" s="117"/>
    </row>
    <row r="750" spans="2:9">
      <c r="B750" s="184"/>
      <c r="D750" s="183"/>
      <c r="F750" s="23"/>
      <c r="H750" s="117"/>
      <c r="I750" s="117"/>
    </row>
    <row r="751" spans="2:9">
      <c r="B751" s="184"/>
      <c r="D751" s="183"/>
      <c r="F751" s="23"/>
      <c r="H751" s="117"/>
      <c r="I751" s="117"/>
    </row>
    <row r="752" spans="2:9">
      <c r="B752" s="184"/>
      <c r="D752" s="183"/>
      <c r="F752" s="23"/>
      <c r="H752" s="117"/>
      <c r="I752" s="117"/>
    </row>
    <row r="753" spans="2:9">
      <c r="B753" s="184"/>
      <c r="D753" s="183"/>
      <c r="F753" s="23"/>
      <c r="H753" s="117"/>
      <c r="I753" s="117"/>
    </row>
    <row r="754" spans="2:9">
      <c r="B754" s="184"/>
      <c r="D754" s="183"/>
      <c r="F754" s="23"/>
      <c r="H754" s="117"/>
      <c r="I754" s="117"/>
    </row>
    <row r="755" spans="2:9">
      <c r="B755" s="184"/>
      <c r="D755" s="183"/>
      <c r="F755" s="23"/>
      <c r="H755" s="117"/>
      <c r="I755" s="117"/>
    </row>
    <row r="756" spans="2:9">
      <c r="B756" s="184"/>
      <c r="D756" s="183"/>
      <c r="F756" s="23"/>
      <c r="H756" s="117"/>
      <c r="I756" s="117"/>
    </row>
    <row r="757" spans="2:9">
      <c r="B757" s="184"/>
      <c r="D757" s="183"/>
      <c r="F757" s="23"/>
      <c r="H757" s="117"/>
      <c r="I757" s="117"/>
    </row>
    <row r="758" spans="2:9">
      <c r="B758" s="184"/>
      <c r="D758" s="183"/>
      <c r="F758" s="23"/>
      <c r="H758" s="117"/>
      <c r="I758" s="117"/>
    </row>
    <row r="759" spans="2:9">
      <c r="B759" s="184"/>
      <c r="D759" s="183"/>
      <c r="F759" s="23"/>
      <c r="H759" s="117"/>
      <c r="I759" s="117"/>
    </row>
    <row r="760" spans="2:9">
      <c r="B760" s="184"/>
      <c r="D760" s="183"/>
      <c r="F760" s="23"/>
      <c r="H760" s="117"/>
      <c r="I760" s="117"/>
    </row>
    <row r="761" spans="2:9">
      <c r="B761" s="184"/>
      <c r="D761" s="183"/>
      <c r="F761" s="23"/>
      <c r="H761" s="117"/>
      <c r="I761" s="117"/>
    </row>
    <row r="762" spans="2:9">
      <c r="B762" s="184"/>
      <c r="D762" s="183"/>
      <c r="F762" s="23"/>
      <c r="H762" s="117"/>
      <c r="I762" s="117"/>
    </row>
    <row r="763" spans="2:9">
      <c r="B763" s="184"/>
      <c r="D763" s="183"/>
      <c r="F763" s="23"/>
      <c r="H763" s="117"/>
      <c r="I763" s="117"/>
    </row>
    <row r="764" spans="2:9">
      <c r="B764" s="184"/>
      <c r="D764" s="183"/>
      <c r="F764" s="23"/>
      <c r="H764" s="117"/>
      <c r="I764" s="117"/>
    </row>
    <row r="765" spans="2:9">
      <c r="B765" s="184"/>
      <c r="D765" s="183"/>
      <c r="F765" s="23"/>
      <c r="H765" s="117"/>
      <c r="I765" s="117"/>
    </row>
    <row r="766" spans="2:9">
      <c r="B766" s="184"/>
      <c r="D766" s="183"/>
      <c r="F766" s="23"/>
      <c r="H766" s="117"/>
      <c r="I766" s="117"/>
    </row>
    <row r="767" spans="2:9">
      <c r="B767" s="184"/>
      <c r="D767" s="183"/>
      <c r="F767" s="23"/>
      <c r="H767" s="117"/>
      <c r="I767" s="117"/>
    </row>
    <row r="768" spans="2:9">
      <c r="B768" s="184"/>
      <c r="D768" s="183"/>
      <c r="F768" s="23"/>
      <c r="H768" s="117"/>
      <c r="I768" s="117"/>
    </row>
    <row r="769" spans="2:9">
      <c r="B769" s="184"/>
      <c r="D769" s="183"/>
      <c r="F769" s="23"/>
      <c r="H769" s="117"/>
      <c r="I769" s="117"/>
    </row>
    <row r="770" spans="2:9">
      <c r="B770" s="184"/>
      <c r="D770" s="183"/>
      <c r="F770" s="23"/>
      <c r="H770" s="117"/>
      <c r="I770" s="117"/>
    </row>
    <row r="771" spans="2:9">
      <c r="B771" s="184"/>
      <c r="D771" s="183"/>
      <c r="F771" s="23"/>
      <c r="H771" s="117"/>
      <c r="I771" s="117"/>
    </row>
    <row r="772" spans="2:9">
      <c r="B772" s="184"/>
      <c r="D772" s="183"/>
      <c r="F772" s="23"/>
      <c r="H772" s="117"/>
      <c r="I772" s="117"/>
    </row>
    <row r="773" spans="2:9">
      <c r="B773" s="184"/>
      <c r="D773" s="183"/>
      <c r="F773" s="23"/>
      <c r="H773" s="117"/>
      <c r="I773" s="117"/>
    </row>
    <row r="774" spans="2:9">
      <c r="B774" s="184"/>
      <c r="D774" s="183"/>
      <c r="F774" s="23"/>
      <c r="H774" s="117"/>
      <c r="I774" s="117"/>
    </row>
    <row r="775" spans="2:9">
      <c r="B775" s="184"/>
      <c r="D775" s="183"/>
      <c r="F775" s="23"/>
      <c r="H775" s="117"/>
      <c r="I775" s="117"/>
    </row>
    <row r="776" spans="2:9">
      <c r="B776" s="184"/>
      <c r="D776" s="183"/>
      <c r="F776" s="23"/>
      <c r="H776" s="117"/>
      <c r="I776" s="117"/>
    </row>
    <row r="777" spans="2:9">
      <c r="B777" s="184"/>
      <c r="D777" s="183"/>
      <c r="F777" s="23"/>
      <c r="H777" s="117"/>
      <c r="I777" s="117"/>
    </row>
    <row r="778" spans="2:9">
      <c r="B778" s="184"/>
      <c r="D778" s="183"/>
      <c r="F778" s="23"/>
      <c r="H778" s="117"/>
      <c r="I778" s="117"/>
    </row>
    <row r="779" spans="2:9">
      <c r="B779" s="184"/>
      <c r="D779" s="183"/>
      <c r="F779" s="23"/>
      <c r="H779" s="117"/>
      <c r="I779" s="117"/>
    </row>
    <row r="780" spans="2:9">
      <c r="B780" s="184"/>
      <c r="D780" s="183"/>
      <c r="F780" s="23"/>
      <c r="H780" s="117"/>
      <c r="I780" s="117"/>
    </row>
    <row r="781" spans="2:9">
      <c r="B781" s="184"/>
      <c r="D781" s="183"/>
      <c r="F781" s="23"/>
      <c r="H781" s="117"/>
      <c r="I781" s="117"/>
    </row>
    <row r="782" spans="2:9">
      <c r="B782" s="184"/>
      <c r="D782" s="183"/>
      <c r="F782" s="23"/>
      <c r="H782" s="117"/>
      <c r="I782" s="117"/>
    </row>
    <row r="783" spans="2:9">
      <c r="B783" s="184"/>
      <c r="D783" s="183"/>
      <c r="F783" s="23"/>
      <c r="H783" s="117"/>
      <c r="I783" s="117"/>
    </row>
    <row r="784" spans="2:9">
      <c r="B784" s="184"/>
      <c r="D784" s="183"/>
      <c r="F784" s="23"/>
      <c r="H784" s="117"/>
      <c r="I784" s="117"/>
    </row>
    <row r="785" spans="2:9">
      <c r="B785" s="184"/>
      <c r="D785" s="183"/>
      <c r="F785" s="23"/>
      <c r="H785" s="117"/>
      <c r="I785" s="117"/>
    </row>
    <row r="786" spans="2:9">
      <c r="B786" s="184"/>
      <c r="D786" s="183"/>
      <c r="F786" s="23"/>
      <c r="H786" s="117"/>
      <c r="I786" s="117"/>
    </row>
    <row r="787" spans="2:9">
      <c r="B787" s="184"/>
      <c r="D787" s="183"/>
      <c r="F787" s="23"/>
      <c r="H787" s="117"/>
      <c r="I787" s="117"/>
    </row>
    <row r="788" spans="2:9">
      <c r="B788" s="184"/>
      <c r="D788" s="183"/>
      <c r="F788" s="23"/>
      <c r="H788" s="117"/>
      <c r="I788" s="117"/>
    </row>
    <row r="789" spans="2:9">
      <c r="B789" s="184"/>
      <c r="D789" s="183"/>
      <c r="F789" s="23"/>
      <c r="H789" s="117"/>
      <c r="I789" s="117"/>
    </row>
    <row r="790" spans="2:9">
      <c r="B790" s="184"/>
      <c r="D790" s="183"/>
      <c r="F790" s="23"/>
      <c r="H790" s="117"/>
      <c r="I790" s="117"/>
    </row>
    <row r="791" spans="2:9">
      <c r="B791" s="184"/>
      <c r="D791" s="183"/>
      <c r="F791" s="23"/>
      <c r="H791" s="117"/>
      <c r="I791" s="117"/>
    </row>
    <row r="792" spans="2:9">
      <c r="B792" s="184"/>
      <c r="D792" s="183"/>
      <c r="F792" s="23"/>
      <c r="H792" s="117"/>
      <c r="I792" s="117"/>
    </row>
    <row r="793" spans="2:9">
      <c r="B793" s="184"/>
      <c r="D793" s="183"/>
      <c r="F793" s="23"/>
      <c r="H793" s="117"/>
      <c r="I793" s="117"/>
    </row>
    <row r="794" spans="2:9">
      <c r="B794" s="184"/>
      <c r="D794" s="183"/>
      <c r="F794" s="23"/>
      <c r="H794" s="117"/>
      <c r="I794" s="117"/>
    </row>
    <row r="795" spans="2:9">
      <c r="B795" s="184"/>
      <c r="D795" s="183"/>
      <c r="F795" s="23"/>
      <c r="H795" s="117"/>
      <c r="I795" s="117"/>
    </row>
    <row r="796" spans="2:9">
      <c r="B796" s="184"/>
      <c r="D796" s="183"/>
      <c r="F796" s="23"/>
      <c r="H796" s="117"/>
      <c r="I796" s="117"/>
    </row>
    <row r="797" spans="2:9">
      <c r="B797" s="184"/>
      <c r="D797" s="183"/>
      <c r="F797" s="23"/>
      <c r="H797" s="117"/>
      <c r="I797" s="117"/>
    </row>
    <row r="798" spans="2:9">
      <c r="B798" s="184"/>
      <c r="D798" s="183"/>
      <c r="F798" s="23"/>
      <c r="H798" s="117"/>
      <c r="I798" s="117"/>
    </row>
    <row r="799" spans="2:9">
      <c r="B799" s="184"/>
      <c r="D799" s="183"/>
      <c r="F799" s="23"/>
      <c r="H799" s="117"/>
      <c r="I799" s="117"/>
    </row>
    <row r="800" spans="2:9">
      <c r="B800" s="184"/>
      <c r="D800" s="183"/>
      <c r="F800" s="23"/>
      <c r="H800" s="117"/>
      <c r="I800" s="117"/>
    </row>
    <row r="801" spans="2:9">
      <c r="B801" s="184"/>
      <c r="D801" s="183"/>
      <c r="F801" s="23"/>
      <c r="H801" s="117"/>
      <c r="I801" s="117"/>
    </row>
    <row r="802" spans="2:9">
      <c r="B802" s="184"/>
      <c r="D802" s="183"/>
      <c r="F802" s="23"/>
      <c r="H802" s="117"/>
      <c r="I802" s="117"/>
    </row>
    <row r="803" spans="2:9">
      <c r="B803" s="184"/>
      <c r="D803" s="183"/>
      <c r="F803" s="23"/>
      <c r="H803" s="117"/>
      <c r="I803" s="117"/>
    </row>
    <row r="804" spans="2:9">
      <c r="B804" s="184"/>
      <c r="D804" s="183"/>
      <c r="F804" s="23"/>
      <c r="H804" s="117"/>
      <c r="I804" s="117"/>
    </row>
    <row r="805" spans="2:9">
      <c r="B805" s="184"/>
      <c r="D805" s="183"/>
      <c r="F805" s="23"/>
      <c r="H805" s="117"/>
      <c r="I805" s="117"/>
    </row>
    <row r="806" spans="2:9">
      <c r="B806" s="184"/>
      <c r="D806" s="183"/>
      <c r="F806" s="23"/>
      <c r="H806" s="117"/>
      <c r="I806" s="117"/>
    </row>
    <row r="807" spans="2:9">
      <c r="B807" s="184"/>
      <c r="D807" s="183"/>
      <c r="F807" s="23"/>
      <c r="H807" s="117"/>
      <c r="I807" s="117"/>
    </row>
    <row r="808" spans="2:9">
      <c r="B808" s="184"/>
      <c r="D808" s="183"/>
      <c r="F808" s="23"/>
      <c r="H808" s="117"/>
      <c r="I808" s="117"/>
    </row>
    <row r="809" spans="2:9">
      <c r="B809" s="184"/>
      <c r="D809" s="183"/>
      <c r="F809" s="23"/>
      <c r="H809" s="117"/>
      <c r="I809" s="117"/>
    </row>
    <row r="810" spans="2:9">
      <c r="B810" s="184"/>
      <c r="D810" s="183"/>
      <c r="F810" s="23"/>
      <c r="H810" s="117"/>
      <c r="I810" s="117"/>
    </row>
    <row r="811" spans="2:9">
      <c r="B811" s="184"/>
      <c r="D811" s="183"/>
      <c r="F811" s="23"/>
      <c r="H811" s="117"/>
      <c r="I811" s="117"/>
    </row>
    <row r="812" spans="2:9">
      <c r="B812" s="184"/>
      <c r="D812" s="183"/>
      <c r="F812" s="23"/>
      <c r="H812" s="117"/>
      <c r="I812" s="117"/>
    </row>
    <row r="813" spans="2:9">
      <c r="B813" s="184"/>
      <c r="D813" s="183"/>
      <c r="F813" s="23"/>
      <c r="H813" s="117"/>
      <c r="I813" s="117"/>
    </row>
    <row r="814" spans="2:9">
      <c r="B814" s="184"/>
      <c r="D814" s="183"/>
      <c r="F814" s="23"/>
      <c r="H814" s="117"/>
      <c r="I814" s="117"/>
    </row>
    <row r="815" spans="2:9">
      <c r="B815" s="184"/>
      <c r="D815" s="183"/>
      <c r="F815" s="23"/>
      <c r="H815" s="117"/>
      <c r="I815" s="117"/>
    </row>
    <row r="816" spans="2:9">
      <c r="B816" s="184"/>
      <c r="D816" s="183"/>
      <c r="F816" s="23"/>
      <c r="H816" s="117"/>
      <c r="I816" s="117"/>
    </row>
    <row r="817" spans="2:9">
      <c r="B817" s="184"/>
      <c r="D817" s="183"/>
      <c r="F817" s="23"/>
      <c r="H817" s="117"/>
      <c r="I817" s="117"/>
    </row>
    <row r="818" spans="2:9">
      <c r="B818" s="184"/>
      <c r="D818" s="183"/>
      <c r="F818" s="23"/>
      <c r="H818" s="117"/>
      <c r="I818" s="117"/>
    </row>
    <row r="819" spans="2:9">
      <c r="B819" s="184"/>
      <c r="D819" s="183"/>
      <c r="F819" s="23"/>
      <c r="H819" s="117"/>
      <c r="I819" s="117"/>
    </row>
    <row r="820" spans="2:9">
      <c r="B820" s="184"/>
      <c r="D820" s="183"/>
      <c r="F820" s="23"/>
      <c r="H820" s="117"/>
      <c r="I820" s="117"/>
    </row>
    <row r="821" spans="2:9">
      <c r="B821" s="184"/>
      <c r="D821" s="183"/>
      <c r="F821" s="23"/>
      <c r="H821" s="117"/>
      <c r="I821" s="117"/>
    </row>
    <row r="822" spans="2:9">
      <c r="B822" s="184"/>
      <c r="D822" s="183"/>
      <c r="F822" s="23"/>
      <c r="H822" s="117"/>
      <c r="I822" s="117"/>
    </row>
    <row r="823" spans="2:9">
      <c r="B823" s="184"/>
      <c r="D823" s="183"/>
      <c r="F823" s="23"/>
      <c r="H823" s="117"/>
      <c r="I823" s="117"/>
    </row>
    <row r="824" spans="2:9">
      <c r="B824" s="184"/>
      <c r="D824" s="183"/>
      <c r="F824" s="23"/>
      <c r="H824" s="117"/>
      <c r="I824" s="117"/>
    </row>
    <row r="825" spans="2:9">
      <c r="B825" s="184"/>
      <c r="D825" s="183"/>
      <c r="F825" s="23"/>
      <c r="H825" s="117"/>
      <c r="I825" s="117"/>
    </row>
    <row r="826" spans="2:9">
      <c r="B826" s="184"/>
      <c r="D826" s="183"/>
      <c r="F826" s="23"/>
      <c r="H826" s="117"/>
      <c r="I826" s="117"/>
    </row>
    <row r="827" spans="2:9">
      <c r="B827" s="184"/>
      <c r="D827" s="183"/>
      <c r="F827" s="23"/>
      <c r="H827" s="117"/>
      <c r="I827" s="117"/>
    </row>
    <row r="828" spans="2:9">
      <c r="B828" s="184"/>
      <c r="D828" s="183"/>
      <c r="F828" s="23"/>
      <c r="H828" s="117"/>
      <c r="I828" s="117"/>
    </row>
    <row r="829" spans="2:9">
      <c r="B829" s="184"/>
      <c r="D829" s="183"/>
      <c r="F829" s="23"/>
      <c r="H829" s="117"/>
      <c r="I829" s="117"/>
    </row>
    <row r="830" spans="2:9">
      <c r="B830" s="184"/>
      <c r="D830" s="183"/>
      <c r="F830" s="23"/>
      <c r="H830" s="117"/>
      <c r="I830" s="117"/>
    </row>
    <row r="831" spans="2:9">
      <c r="B831" s="184"/>
      <c r="D831" s="183"/>
      <c r="F831" s="23"/>
      <c r="H831" s="117"/>
      <c r="I831" s="117"/>
    </row>
    <row r="832" spans="2:9">
      <c r="B832" s="184"/>
      <c r="D832" s="183"/>
      <c r="F832" s="23"/>
      <c r="H832" s="117"/>
      <c r="I832" s="117"/>
    </row>
    <row r="833" spans="2:9">
      <c r="B833" s="184"/>
      <c r="D833" s="183"/>
      <c r="F833" s="23"/>
      <c r="H833" s="117"/>
      <c r="I833" s="117"/>
    </row>
    <row r="834" spans="2:9">
      <c r="B834" s="184"/>
      <c r="D834" s="183"/>
      <c r="F834" s="23"/>
      <c r="H834" s="117"/>
      <c r="I834" s="117"/>
    </row>
    <row r="835" spans="2:9">
      <c r="B835" s="184"/>
      <c r="D835" s="183"/>
      <c r="F835" s="23"/>
      <c r="H835" s="117"/>
      <c r="I835" s="117"/>
    </row>
    <row r="836" spans="2:9">
      <c r="B836" s="184"/>
      <c r="D836" s="183"/>
      <c r="F836" s="23"/>
      <c r="H836" s="117"/>
      <c r="I836" s="117"/>
    </row>
    <row r="837" spans="2:9">
      <c r="B837" s="184"/>
      <c r="D837" s="183"/>
      <c r="F837" s="23"/>
      <c r="H837" s="117"/>
      <c r="I837" s="117"/>
    </row>
    <row r="838" spans="2:9">
      <c r="B838" s="184"/>
      <c r="D838" s="183"/>
      <c r="F838" s="23"/>
      <c r="H838" s="117"/>
      <c r="I838" s="117"/>
    </row>
    <row r="839" spans="2:9">
      <c r="B839" s="184"/>
      <c r="D839" s="183"/>
      <c r="F839" s="23"/>
      <c r="H839" s="117"/>
      <c r="I839" s="117"/>
    </row>
    <row r="840" spans="2:9">
      <c r="B840" s="184"/>
      <c r="D840" s="183"/>
      <c r="F840" s="23"/>
      <c r="H840" s="117"/>
      <c r="I840" s="117"/>
    </row>
    <row r="841" spans="2:9">
      <c r="B841" s="184"/>
      <c r="D841" s="183"/>
      <c r="F841" s="23"/>
      <c r="H841" s="117"/>
      <c r="I841" s="117"/>
    </row>
    <row r="842" spans="2:9">
      <c r="B842" s="184"/>
      <c r="D842" s="183"/>
      <c r="F842" s="23"/>
      <c r="H842" s="117"/>
      <c r="I842" s="117"/>
    </row>
    <row r="843" spans="2:9">
      <c r="B843" s="184"/>
      <c r="D843" s="183"/>
      <c r="F843" s="23"/>
      <c r="H843" s="117"/>
      <c r="I843" s="117"/>
    </row>
    <row r="844" spans="2:9">
      <c r="B844" s="184"/>
      <c r="D844" s="183"/>
      <c r="F844" s="23"/>
      <c r="H844" s="117"/>
      <c r="I844" s="117"/>
    </row>
    <row r="845" spans="2:9">
      <c r="B845" s="184"/>
      <c r="D845" s="183"/>
      <c r="F845" s="23"/>
      <c r="H845" s="117"/>
      <c r="I845" s="117"/>
    </row>
    <row r="846" spans="2:9">
      <c r="B846" s="184"/>
      <c r="D846" s="183"/>
      <c r="F846" s="23"/>
      <c r="H846" s="117"/>
      <c r="I846" s="117"/>
    </row>
    <row r="847" spans="2:9">
      <c r="B847" s="184"/>
      <c r="D847" s="183"/>
      <c r="F847" s="23"/>
      <c r="H847" s="117"/>
      <c r="I847" s="117"/>
    </row>
    <row r="848" spans="2:9">
      <c r="B848" s="184"/>
      <c r="D848" s="183"/>
      <c r="F848" s="23"/>
      <c r="H848" s="117"/>
      <c r="I848" s="117"/>
    </row>
    <row r="849" spans="2:9">
      <c r="B849" s="184"/>
      <c r="D849" s="183"/>
      <c r="F849" s="23"/>
      <c r="H849" s="117"/>
      <c r="I849" s="117"/>
    </row>
    <row r="850" spans="2:9">
      <c r="B850" s="184"/>
      <c r="D850" s="183"/>
      <c r="F850" s="23"/>
      <c r="H850" s="117"/>
      <c r="I850" s="117"/>
    </row>
    <row r="851" spans="2:9">
      <c r="B851" s="184"/>
      <c r="D851" s="183"/>
      <c r="F851" s="23"/>
      <c r="H851" s="117"/>
      <c r="I851" s="117"/>
    </row>
    <row r="852" spans="2:9">
      <c r="B852" s="184"/>
      <c r="D852" s="183"/>
      <c r="F852" s="23"/>
      <c r="H852" s="117"/>
      <c r="I852" s="117"/>
    </row>
    <row r="853" spans="2:9">
      <c r="B853" s="184"/>
      <c r="D853" s="183"/>
      <c r="F853" s="23"/>
      <c r="H853" s="117"/>
      <c r="I853" s="117"/>
    </row>
    <row r="854" spans="2:9">
      <c r="B854" s="184"/>
      <c r="D854" s="183"/>
      <c r="F854" s="23"/>
      <c r="H854" s="117"/>
      <c r="I854" s="117"/>
    </row>
    <row r="855" spans="2:9">
      <c r="B855" s="184"/>
      <c r="D855" s="183"/>
      <c r="F855" s="23"/>
      <c r="H855" s="117"/>
      <c r="I855" s="117"/>
    </row>
    <row r="856" spans="2:9">
      <c r="B856" s="184"/>
      <c r="D856" s="183"/>
      <c r="F856" s="23"/>
      <c r="H856" s="117"/>
      <c r="I856" s="117"/>
    </row>
    <row r="857" spans="2:9">
      <c r="B857" s="184"/>
      <c r="D857" s="183"/>
      <c r="F857" s="23"/>
      <c r="H857" s="117"/>
      <c r="I857" s="117"/>
    </row>
    <row r="858" spans="2:9">
      <c r="B858" s="184"/>
      <c r="D858" s="183"/>
      <c r="F858" s="23"/>
      <c r="H858" s="117"/>
      <c r="I858" s="117"/>
    </row>
    <row r="859" spans="2:9">
      <c r="B859" s="184"/>
      <c r="D859" s="183"/>
      <c r="F859" s="23"/>
      <c r="H859" s="117"/>
      <c r="I859" s="117"/>
    </row>
    <row r="860" spans="2:9">
      <c r="B860" s="184"/>
      <c r="D860" s="183"/>
      <c r="F860" s="23"/>
      <c r="H860" s="117"/>
      <c r="I860" s="117"/>
    </row>
    <row r="861" spans="2:9">
      <c r="B861" s="184"/>
      <c r="D861" s="183"/>
      <c r="F861" s="23"/>
      <c r="H861" s="117"/>
      <c r="I861" s="117"/>
    </row>
    <row r="862" spans="2:9">
      <c r="B862" s="184"/>
      <c r="D862" s="183"/>
      <c r="F862" s="23"/>
      <c r="H862" s="117"/>
      <c r="I862" s="117"/>
    </row>
    <row r="863" spans="2:9">
      <c r="B863" s="184"/>
      <c r="D863" s="183"/>
      <c r="F863" s="23"/>
      <c r="H863" s="117"/>
      <c r="I863" s="117"/>
    </row>
    <row r="864" spans="2:9">
      <c r="B864" s="184"/>
      <c r="D864" s="183"/>
      <c r="F864" s="23"/>
      <c r="H864" s="117"/>
      <c r="I864" s="117"/>
    </row>
    <row r="865" spans="2:9">
      <c r="B865" s="184"/>
      <c r="D865" s="183"/>
      <c r="F865" s="23"/>
      <c r="H865" s="117"/>
      <c r="I865" s="117"/>
    </row>
    <row r="866" spans="2:9">
      <c r="B866" s="184"/>
      <c r="D866" s="183"/>
      <c r="F866" s="23"/>
      <c r="H866" s="117"/>
      <c r="I866" s="117"/>
    </row>
    <row r="867" spans="2:9">
      <c r="B867" s="184"/>
      <c r="D867" s="183"/>
      <c r="F867" s="23"/>
      <c r="H867" s="117"/>
      <c r="I867" s="117"/>
    </row>
    <row r="868" spans="2:9">
      <c r="B868" s="184"/>
      <c r="D868" s="183"/>
      <c r="F868" s="23"/>
      <c r="H868" s="117"/>
      <c r="I868" s="117"/>
    </row>
    <row r="869" spans="2:9">
      <c r="B869" s="184"/>
      <c r="D869" s="183"/>
      <c r="F869" s="23"/>
      <c r="H869" s="117"/>
      <c r="I869" s="117"/>
    </row>
    <row r="870" spans="2:9">
      <c r="B870" s="184"/>
      <c r="D870" s="183"/>
      <c r="F870" s="23"/>
      <c r="H870" s="117"/>
      <c r="I870" s="117"/>
    </row>
    <row r="871" spans="2:9">
      <c r="B871" s="184"/>
      <c r="D871" s="183"/>
      <c r="F871" s="23"/>
      <c r="H871" s="117"/>
      <c r="I871" s="117"/>
    </row>
    <row r="872" spans="2:9">
      <c r="B872" s="184"/>
      <c r="D872" s="183"/>
      <c r="F872" s="23"/>
      <c r="H872" s="117"/>
      <c r="I872" s="117"/>
    </row>
    <row r="873" spans="2:9">
      <c r="B873" s="184"/>
      <c r="D873" s="183"/>
      <c r="F873" s="23"/>
      <c r="H873" s="117"/>
      <c r="I873" s="117"/>
    </row>
    <row r="874" spans="2:9">
      <c r="B874" s="184"/>
      <c r="D874" s="183"/>
      <c r="F874" s="23"/>
      <c r="H874" s="117"/>
      <c r="I874" s="117"/>
    </row>
    <row r="875" spans="2:9">
      <c r="B875" s="184"/>
      <c r="D875" s="183"/>
      <c r="F875" s="23"/>
      <c r="H875" s="117"/>
      <c r="I875" s="117"/>
    </row>
    <row r="876" spans="2:9">
      <c r="B876" s="184"/>
      <c r="D876" s="183"/>
      <c r="F876" s="23"/>
      <c r="H876" s="117"/>
      <c r="I876" s="117"/>
    </row>
    <row r="877" spans="2:9">
      <c r="B877" s="184"/>
      <c r="D877" s="183"/>
      <c r="F877" s="23"/>
      <c r="H877" s="117"/>
      <c r="I877" s="117"/>
    </row>
    <row r="878" spans="2:9">
      <c r="B878" s="184"/>
      <c r="D878" s="183"/>
      <c r="F878" s="23"/>
      <c r="H878" s="117"/>
      <c r="I878" s="117"/>
    </row>
    <row r="879" spans="2:9">
      <c r="B879" s="184"/>
      <c r="D879" s="183"/>
      <c r="F879" s="23"/>
      <c r="H879" s="117"/>
      <c r="I879" s="117"/>
    </row>
    <row r="880" spans="2:9">
      <c r="B880" s="184"/>
      <c r="D880" s="183"/>
      <c r="F880" s="23"/>
      <c r="H880" s="117"/>
      <c r="I880" s="117"/>
    </row>
    <row r="881" spans="2:9">
      <c r="B881" s="184"/>
      <c r="D881" s="183"/>
      <c r="F881" s="23"/>
      <c r="H881" s="117"/>
      <c r="I881" s="117"/>
    </row>
    <row r="882" spans="2:9">
      <c r="B882" s="184"/>
      <c r="D882" s="183"/>
      <c r="F882" s="23"/>
      <c r="H882" s="117"/>
      <c r="I882" s="117"/>
    </row>
    <row r="883" spans="2:9">
      <c r="B883" s="184"/>
      <c r="D883" s="183"/>
      <c r="F883" s="23"/>
      <c r="H883" s="117"/>
      <c r="I883" s="117"/>
    </row>
    <row r="884" spans="2:9">
      <c r="B884" s="184"/>
      <c r="D884" s="183"/>
      <c r="F884" s="23"/>
      <c r="H884" s="117"/>
      <c r="I884" s="117"/>
    </row>
    <row r="885" spans="2:9">
      <c r="B885" s="184"/>
      <c r="D885" s="183"/>
      <c r="F885" s="23"/>
      <c r="H885" s="117"/>
      <c r="I885" s="117"/>
    </row>
    <row r="886" spans="2:9">
      <c r="B886" s="184"/>
      <c r="D886" s="183"/>
      <c r="F886" s="23"/>
      <c r="H886" s="117"/>
      <c r="I886" s="117"/>
    </row>
    <row r="887" spans="2:9">
      <c r="B887" s="184"/>
      <c r="D887" s="183"/>
      <c r="F887" s="23"/>
      <c r="H887" s="117"/>
      <c r="I887" s="117"/>
    </row>
    <row r="888" spans="2:9">
      <c r="B888" s="184"/>
      <c r="D888" s="183"/>
      <c r="F888" s="23"/>
      <c r="H888" s="117"/>
      <c r="I888" s="117"/>
    </row>
    <row r="889" spans="2:9">
      <c r="B889" s="184"/>
      <c r="D889" s="183"/>
      <c r="F889" s="23"/>
      <c r="H889" s="117"/>
      <c r="I889" s="117"/>
    </row>
    <row r="890" spans="2:9">
      <c r="B890" s="184"/>
      <c r="D890" s="183"/>
      <c r="F890" s="23"/>
      <c r="H890" s="117"/>
      <c r="I890" s="117"/>
    </row>
    <row r="891" spans="2:9">
      <c r="B891" s="184"/>
      <c r="D891" s="183"/>
      <c r="F891" s="23"/>
      <c r="H891" s="117"/>
      <c r="I891" s="117"/>
    </row>
    <row r="892" spans="2:9">
      <c r="B892" s="184"/>
      <c r="D892" s="183"/>
      <c r="F892" s="23"/>
      <c r="H892" s="117"/>
      <c r="I892" s="117"/>
    </row>
    <row r="893" spans="2:9">
      <c r="B893" s="184"/>
      <c r="D893" s="183"/>
      <c r="F893" s="23"/>
      <c r="H893" s="117"/>
      <c r="I893" s="117"/>
    </row>
    <row r="894" spans="2:9">
      <c r="B894" s="184"/>
      <c r="D894" s="183"/>
      <c r="F894" s="23"/>
      <c r="H894" s="117"/>
      <c r="I894" s="117"/>
    </row>
    <row r="895" spans="2:9">
      <c r="B895" s="184"/>
      <c r="D895" s="183"/>
      <c r="F895" s="23"/>
      <c r="H895" s="117"/>
      <c r="I895" s="117"/>
    </row>
    <row r="896" spans="2:9">
      <c r="B896" s="184"/>
      <c r="D896" s="183"/>
      <c r="F896" s="23"/>
      <c r="H896" s="117"/>
      <c r="I896" s="117"/>
    </row>
    <row r="897" spans="2:9">
      <c r="B897" s="184"/>
      <c r="D897" s="183"/>
      <c r="F897" s="23"/>
      <c r="H897" s="117"/>
      <c r="I897" s="117"/>
    </row>
    <row r="898" spans="2:9">
      <c r="B898" s="184"/>
      <c r="D898" s="183"/>
      <c r="F898" s="23"/>
      <c r="H898" s="117"/>
      <c r="I898" s="117"/>
    </row>
    <row r="899" spans="2:9">
      <c r="B899" s="184"/>
      <c r="D899" s="183"/>
      <c r="F899" s="23"/>
      <c r="H899" s="117"/>
      <c r="I899" s="117"/>
    </row>
    <row r="900" spans="2:9">
      <c r="B900" s="184"/>
      <c r="D900" s="183"/>
      <c r="F900" s="23"/>
      <c r="H900" s="117"/>
      <c r="I900" s="117"/>
    </row>
    <row r="901" spans="2:9">
      <c r="B901" s="184"/>
      <c r="D901" s="183"/>
      <c r="F901" s="23"/>
      <c r="H901" s="117"/>
      <c r="I901" s="117"/>
    </row>
    <row r="902" spans="2:9">
      <c r="B902" s="184"/>
      <c r="D902" s="183"/>
      <c r="F902" s="23"/>
      <c r="H902" s="117"/>
      <c r="I902" s="117"/>
    </row>
    <row r="903" spans="2:9">
      <c r="B903" s="184"/>
      <c r="D903" s="183"/>
      <c r="F903" s="23"/>
      <c r="H903" s="117"/>
      <c r="I903" s="117"/>
    </row>
    <row r="904" spans="2:9">
      <c r="B904" s="184"/>
      <c r="D904" s="183"/>
      <c r="F904" s="23"/>
      <c r="H904" s="117"/>
      <c r="I904" s="117"/>
    </row>
    <row r="905" spans="2:9">
      <c r="B905" s="184"/>
      <c r="D905" s="183"/>
      <c r="F905" s="23"/>
      <c r="H905" s="117"/>
      <c r="I905" s="117"/>
    </row>
    <row r="906" spans="2:9">
      <c r="B906" s="184"/>
      <c r="D906" s="183"/>
      <c r="F906" s="23"/>
      <c r="H906" s="117"/>
      <c r="I906" s="117"/>
    </row>
    <row r="907" spans="2:9">
      <c r="B907" s="184"/>
      <c r="D907" s="183"/>
      <c r="F907" s="23"/>
      <c r="H907" s="117"/>
      <c r="I907" s="117"/>
    </row>
    <row r="908" spans="2:9">
      <c r="B908" s="184"/>
      <c r="D908" s="183"/>
      <c r="F908" s="23"/>
      <c r="H908" s="117"/>
      <c r="I908" s="117"/>
    </row>
    <row r="909" spans="2:9">
      <c r="B909" s="184"/>
      <c r="D909" s="183"/>
      <c r="F909" s="23"/>
      <c r="H909" s="117"/>
      <c r="I909" s="117"/>
    </row>
    <row r="910" spans="2:9">
      <c r="B910" s="184"/>
      <c r="D910" s="183"/>
      <c r="F910" s="23"/>
      <c r="H910" s="117"/>
      <c r="I910" s="117"/>
    </row>
    <row r="911" spans="2:9">
      <c r="B911" s="184"/>
      <c r="D911" s="183"/>
      <c r="F911" s="23"/>
      <c r="H911" s="117"/>
      <c r="I911" s="117"/>
    </row>
    <row r="912" spans="2:9">
      <c r="B912" s="184"/>
      <c r="D912" s="183"/>
      <c r="F912" s="23"/>
      <c r="H912" s="117"/>
      <c r="I912" s="117"/>
    </row>
    <row r="913" spans="2:9">
      <c r="B913" s="184"/>
      <c r="D913" s="183"/>
      <c r="F913" s="23"/>
      <c r="H913" s="117"/>
      <c r="I913" s="117"/>
    </row>
    <row r="914" spans="2:9">
      <c r="B914" s="184"/>
      <c r="D914" s="183"/>
      <c r="F914" s="23"/>
      <c r="H914" s="117"/>
      <c r="I914" s="117"/>
    </row>
    <row r="915" spans="2:9">
      <c r="B915" s="184"/>
      <c r="D915" s="183"/>
      <c r="F915" s="23"/>
      <c r="H915" s="117"/>
      <c r="I915" s="117"/>
    </row>
    <row r="916" spans="2:9">
      <c r="B916" s="184"/>
      <c r="D916" s="183"/>
      <c r="F916" s="23"/>
      <c r="H916" s="117"/>
      <c r="I916" s="117"/>
    </row>
    <row r="917" spans="2:9">
      <c r="B917" s="184"/>
      <c r="D917" s="183"/>
      <c r="F917" s="23"/>
      <c r="H917" s="117"/>
      <c r="I917" s="117"/>
    </row>
    <row r="918" spans="2:9">
      <c r="B918" s="184"/>
      <c r="D918" s="183"/>
      <c r="F918" s="23"/>
      <c r="H918" s="117"/>
      <c r="I918" s="117"/>
    </row>
    <row r="919" spans="2:9">
      <c r="B919" s="184"/>
      <c r="D919" s="183"/>
      <c r="F919" s="23"/>
      <c r="H919" s="117"/>
      <c r="I919" s="117"/>
    </row>
    <row r="920" spans="2:9">
      <c r="B920" s="184"/>
      <c r="D920" s="183"/>
      <c r="F920" s="23"/>
      <c r="H920" s="117"/>
      <c r="I920" s="117"/>
    </row>
    <row r="921" spans="2:9">
      <c r="B921" s="184"/>
      <c r="D921" s="183"/>
      <c r="F921" s="23"/>
      <c r="H921" s="117"/>
      <c r="I921" s="117"/>
    </row>
    <row r="922" spans="2:9">
      <c r="B922" s="184"/>
      <c r="D922" s="183"/>
      <c r="F922" s="23"/>
      <c r="H922" s="117"/>
      <c r="I922" s="117"/>
    </row>
    <row r="923" spans="2:9">
      <c r="B923" s="184"/>
      <c r="D923" s="183"/>
      <c r="F923" s="23"/>
      <c r="H923" s="117"/>
      <c r="I923" s="117"/>
    </row>
    <row r="924" spans="2:9">
      <c r="B924" s="184"/>
      <c r="D924" s="183"/>
      <c r="F924" s="23"/>
      <c r="H924" s="117"/>
      <c r="I924" s="117"/>
    </row>
    <row r="925" spans="2:9">
      <c r="B925" s="184"/>
      <c r="D925" s="183"/>
      <c r="F925" s="23"/>
      <c r="H925" s="117"/>
      <c r="I925" s="117"/>
    </row>
    <row r="926" spans="2:9">
      <c r="B926" s="184"/>
      <c r="D926" s="183"/>
      <c r="F926" s="23"/>
      <c r="H926" s="117"/>
      <c r="I926" s="117"/>
    </row>
    <row r="927" spans="2:9">
      <c r="B927" s="184"/>
      <c r="D927" s="183"/>
      <c r="F927" s="23"/>
      <c r="H927" s="117"/>
      <c r="I927" s="117"/>
    </row>
    <row r="928" spans="2:9">
      <c r="B928" s="184"/>
      <c r="D928" s="183"/>
      <c r="F928" s="23"/>
      <c r="H928" s="117"/>
      <c r="I928" s="117"/>
    </row>
    <row r="929" spans="2:9">
      <c r="B929" s="184"/>
      <c r="D929" s="183"/>
      <c r="F929" s="23"/>
      <c r="H929" s="117"/>
      <c r="I929" s="117"/>
    </row>
    <row r="930" spans="2:9">
      <c r="B930" s="184"/>
      <c r="D930" s="183"/>
      <c r="F930" s="23"/>
      <c r="H930" s="117"/>
      <c r="I930" s="117"/>
    </row>
    <row r="931" spans="2:9">
      <c r="B931" s="184"/>
      <c r="D931" s="183"/>
      <c r="F931" s="23"/>
      <c r="H931" s="117"/>
      <c r="I931" s="117"/>
    </row>
    <row r="932" spans="2:9">
      <c r="B932" s="184"/>
      <c r="D932" s="183"/>
      <c r="F932" s="23"/>
      <c r="H932" s="117"/>
      <c r="I932" s="117"/>
    </row>
    <row r="933" spans="2:9">
      <c r="B933" s="184"/>
      <c r="D933" s="183"/>
      <c r="F933" s="23"/>
      <c r="H933" s="117"/>
      <c r="I933" s="117"/>
    </row>
    <row r="934" spans="2:9">
      <c r="B934" s="184"/>
      <c r="D934" s="183"/>
      <c r="F934" s="23"/>
      <c r="H934" s="117"/>
      <c r="I934" s="117"/>
    </row>
    <row r="935" spans="2:9">
      <c r="B935" s="184"/>
      <c r="D935" s="183"/>
      <c r="F935" s="23"/>
      <c r="H935" s="117"/>
      <c r="I935" s="117"/>
    </row>
    <row r="936" spans="2:9">
      <c r="B936" s="184"/>
      <c r="D936" s="183"/>
      <c r="F936" s="23"/>
      <c r="H936" s="117"/>
      <c r="I936" s="117"/>
    </row>
    <row r="937" spans="2:9">
      <c r="B937" s="184"/>
      <c r="D937" s="183"/>
      <c r="F937" s="23"/>
      <c r="H937" s="117"/>
      <c r="I937" s="117"/>
    </row>
    <row r="938" spans="2:9">
      <c r="B938" s="184"/>
      <c r="D938" s="183"/>
      <c r="F938" s="23"/>
      <c r="H938" s="117"/>
      <c r="I938" s="117"/>
    </row>
    <row r="939" spans="2:9">
      <c r="B939" s="184"/>
      <c r="D939" s="183"/>
      <c r="F939" s="23"/>
      <c r="H939" s="117"/>
      <c r="I939" s="117"/>
    </row>
    <row r="940" spans="2:9">
      <c r="B940" s="184"/>
      <c r="D940" s="183"/>
      <c r="F940" s="23"/>
      <c r="H940" s="117"/>
      <c r="I940" s="117"/>
    </row>
    <row r="941" spans="2:9">
      <c r="B941" s="184"/>
      <c r="D941" s="183"/>
      <c r="F941" s="23"/>
      <c r="H941" s="117"/>
      <c r="I941" s="117"/>
    </row>
    <row r="942" spans="2:9">
      <c r="B942" s="184"/>
      <c r="D942" s="183"/>
      <c r="F942" s="23"/>
      <c r="H942" s="117"/>
      <c r="I942" s="117"/>
    </row>
    <row r="943" spans="2:9">
      <c r="B943" s="184"/>
      <c r="D943" s="183"/>
      <c r="F943" s="23"/>
      <c r="H943" s="117"/>
      <c r="I943" s="117"/>
    </row>
    <row r="944" spans="2:9">
      <c r="B944" s="184"/>
      <c r="D944" s="183"/>
      <c r="F944" s="23"/>
      <c r="H944" s="117"/>
      <c r="I944" s="117"/>
    </row>
    <row r="945" spans="2:9">
      <c r="B945" s="184"/>
      <c r="D945" s="183"/>
      <c r="F945" s="23"/>
      <c r="H945" s="117"/>
      <c r="I945" s="117"/>
    </row>
    <row r="946" spans="2:9">
      <c r="B946" s="184"/>
      <c r="D946" s="183"/>
      <c r="F946" s="23"/>
      <c r="H946" s="117"/>
      <c r="I946" s="117"/>
    </row>
    <row r="947" spans="2:9">
      <c r="B947" s="184"/>
      <c r="D947" s="183"/>
      <c r="F947" s="23"/>
      <c r="H947" s="117"/>
      <c r="I947" s="117"/>
    </row>
    <row r="948" spans="2:9">
      <c r="B948" s="184"/>
      <c r="D948" s="183"/>
      <c r="F948" s="23"/>
      <c r="H948" s="117"/>
      <c r="I948" s="117"/>
    </row>
    <row r="949" spans="2:9">
      <c r="B949" s="184"/>
      <c r="D949" s="183"/>
      <c r="F949" s="23"/>
      <c r="H949" s="117"/>
      <c r="I949" s="117"/>
    </row>
    <row r="950" spans="2:9">
      <c r="B950" s="184"/>
      <c r="D950" s="183"/>
      <c r="F950" s="23"/>
      <c r="H950" s="117"/>
      <c r="I950" s="117"/>
    </row>
    <row r="951" spans="2:9">
      <c r="B951" s="184"/>
      <c r="D951" s="183"/>
      <c r="F951" s="23"/>
      <c r="H951" s="117"/>
      <c r="I951" s="117"/>
    </row>
    <row r="952" spans="2:9">
      <c r="B952" s="184"/>
      <c r="D952" s="183"/>
      <c r="F952" s="23"/>
      <c r="H952" s="117"/>
      <c r="I952" s="117"/>
    </row>
    <row r="953" spans="2:9">
      <c r="B953" s="184"/>
      <c r="D953" s="183"/>
      <c r="F953" s="23"/>
      <c r="H953" s="117"/>
      <c r="I953" s="117"/>
    </row>
    <row r="954" spans="2:9">
      <c r="B954" s="184"/>
      <c r="D954" s="183"/>
      <c r="F954" s="23"/>
      <c r="H954" s="117"/>
      <c r="I954" s="117"/>
    </row>
    <row r="955" spans="2:9">
      <c r="B955" s="184"/>
      <c r="D955" s="183"/>
      <c r="F955" s="23"/>
      <c r="H955" s="117"/>
      <c r="I955" s="117"/>
    </row>
    <row r="956" spans="2:9">
      <c r="B956" s="184"/>
      <c r="D956" s="183"/>
      <c r="F956" s="23"/>
      <c r="H956" s="117"/>
      <c r="I956" s="117"/>
    </row>
    <row r="957" spans="2:9">
      <c r="B957" s="184"/>
      <c r="D957" s="183"/>
      <c r="F957" s="23"/>
      <c r="H957" s="117"/>
      <c r="I957" s="117"/>
    </row>
    <row r="958" spans="2:9">
      <c r="B958" s="184"/>
      <c r="D958" s="183"/>
      <c r="F958" s="23"/>
      <c r="H958" s="117"/>
      <c r="I958" s="117"/>
    </row>
    <row r="959" spans="2:9">
      <c r="B959" s="184"/>
      <c r="D959" s="183"/>
      <c r="F959" s="23"/>
      <c r="H959" s="117"/>
      <c r="I959" s="117"/>
    </row>
    <row r="960" spans="2:9">
      <c r="B960" s="184"/>
      <c r="D960" s="183"/>
      <c r="F960" s="23"/>
      <c r="H960" s="117"/>
      <c r="I960" s="117"/>
    </row>
    <row r="961" spans="2:9">
      <c r="B961" s="184"/>
      <c r="D961" s="183"/>
      <c r="F961" s="23"/>
      <c r="H961" s="117"/>
      <c r="I961" s="117"/>
    </row>
    <row r="962" spans="2:9">
      <c r="B962" s="184"/>
      <c r="D962" s="183"/>
      <c r="F962" s="23"/>
      <c r="H962" s="117"/>
      <c r="I962" s="117"/>
    </row>
    <row r="963" spans="2:9">
      <c r="B963" s="184"/>
      <c r="D963" s="183"/>
      <c r="F963" s="23"/>
      <c r="H963" s="117"/>
      <c r="I963" s="117"/>
    </row>
    <row r="964" spans="2:9">
      <c r="B964" s="184"/>
      <c r="D964" s="183"/>
      <c r="F964" s="23"/>
      <c r="H964" s="117"/>
      <c r="I964" s="117"/>
    </row>
    <row r="965" spans="2:9">
      <c r="B965" s="184"/>
      <c r="D965" s="183"/>
      <c r="F965" s="23"/>
      <c r="H965" s="117"/>
      <c r="I965" s="117"/>
    </row>
    <row r="966" spans="2:9">
      <c r="B966" s="184"/>
      <c r="D966" s="183"/>
      <c r="F966" s="23"/>
      <c r="H966" s="117"/>
      <c r="I966" s="117"/>
    </row>
    <row r="967" spans="2:9">
      <c r="B967" s="184"/>
      <c r="D967" s="183"/>
      <c r="F967" s="23"/>
      <c r="H967" s="117"/>
      <c r="I967" s="117"/>
    </row>
    <row r="968" spans="2:9">
      <c r="B968" s="184"/>
      <c r="D968" s="183"/>
      <c r="F968" s="23"/>
      <c r="H968" s="117"/>
      <c r="I968" s="117"/>
    </row>
    <row r="969" spans="2:9">
      <c r="B969" s="184"/>
      <c r="D969" s="183"/>
      <c r="F969" s="23"/>
      <c r="H969" s="117"/>
      <c r="I969" s="117"/>
    </row>
    <row r="970" spans="2:9">
      <c r="B970" s="184"/>
      <c r="D970" s="183"/>
      <c r="F970" s="23"/>
      <c r="H970" s="117"/>
      <c r="I970" s="117"/>
    </row>
    <row r="971" spans="2:9">
      <c r="B971" s="184"/>
      <c r="D971" s="183"/>
      <c r="F971" s="23"/>
      <c r="H971" s="117"/>
      <c r="I971" s="117"/>
    </row>
    <row r="972" spans="2:9">
      <c r="B972" s="184"/>
      <c r="D972" s="183"/>
      <c r="F972" s="23"/>
      <c r="H972" s="117"/>
      <c r="I972" s="117"/>
    </row>
    <row r="973" spans="2:9">
      <c r="B973" s="184"/>
      <c r="D973" s="183"/>
      <c r="F973" s="23"/>
      <c r="H973" s="117"/>
      <c r="I973" s="117"/>
    </row>
    <row r="974" spans="2:9">
      <c r="B974" s="184"/>
      <c r="D974" s="183"/>
      <c r="F974" s="23"/>
      <c r="H974" s="117"/>
      <c r="I974" s="117"/>
    </row>
    <row r="975" spans="2:9">
      <c r="B975" s="184"/>
      <c r="D975" s="183"/>
      <c r="F975" s="23"/>
      <c r="H975" s="117"/>
      <c r="I975" s="117"/>
    </row>
    <row r="976" spans="2:9">
      <c r="B976" s="184"/>
      <c r="D976" s="183"/>
      <c r="F976" s="23"/>
      <c r="H976" s="117"/>
      <c r="I976" s="117"/>
    </row>
    <row r="977" spans="2:9">
      <c r="B977" s="184"/>
      <c r="D977" s="183"/>
      <c r="F977" s="23"/>
      <c r="H977" s="117"/>
      <c r="I977" s="117"/>
    </row>
    <row r="978" spans="2:9">
      <c r="B978" s="184"/>
      <c r="D978" s="183"/>
      <c r="F978" s="23"/>
      <c r="H978" s="117"/>
      <c r="I978" s="117"/>
    </row>
    <row r="979" spans="2:9">
      <c r="B979" s="184"/>
      <c r="D979" s="183"/>
      <c r="F979" s="23"/>
      <c r="H979" s="117"/>
      <c r="I979" s="117"/>
    </row>
    <row r="980" spans="2:9">
      <c r="B980" s="184"/>
      <c r="D980" s="183"/>
      <c r="F980" s="23"/>
      <c r="H980" s="117"/>
      <c r="I980" s="117"/>
    </row>
    <row r="981" spans="2:9">
      <c r="B981" s="184"/>
      <c r="D981" s="183"/>
      <c r="F981" s="23"/>
      <c r="H981" s="117"/>
      <c r="I981" s="117"/>
    </row>
    <row r="982" spans="2:9">
      <c r="B982" s="184"/>
      <c r="D982" s="183"/>
      <c r="F982" s="23"/>
      <c r="H982" s="117"/>
      <c r="I982" s="117"/>
    </row>
    <row r="983" spans="2:9">
      <c r="B983" s="184"/>
      <c r="D983" s="183"/>
      <c r="F983" s="23"/>
      <c r="H983" s="117"/>
      <c r="I983" s="117"/>
    </row>
    <row r="984" spans="2:9">
      <c r="B984" s="184"/>
      <c r="D984" s="183"/>
      <c r="F984" s="23"/>
      <c r="H984" s="117"/>
      <c r="I984" s="117"/>
    </row>
    <row r="985" spans="2:9">
      <c r="B985" s="184"/>
      <c r="D985" s="183"/>
      <c r="F985" s="23"/>
      <c r="H985" s="117"/>
      <c r="I985" s="117"/>
    </row>
    <row r="986" spans="2:9">
      <c r="B986" s="184"/>
      <c r="D986" s="183"/>
      <c r="F986" s="23"/>
      <c r="H986" s="117"/>
      <c r="I986" s="117"/>
    </row>
    <row r="987" spans="2:9">
      <c r="B987" s="184"/>
      <c r="D987" s="183"/>
      <c r="F987" s="23"/>
      <c r="H987" s="117"/>
      <c r="I987" s="117"/>
    </row>
    <row r="988" spans="2:9">
      <c r="B988" s="184"/>
      <c r="D988" s="183"/>
      <c r="F988" s="23"/>
      <c r="H988" s="117"/>
      <c r="I988" s="117"/>
    </row>
    <row r="989" spans="2:9">
      <c r="B989" s="184"/>
      <c r="D989" s="183"/>
      <c r="F989" s="23"/>
      <c r="H989" s="117"/>
      <c r="I989" s="117"/>
    </row>
    <row r="990" spans="2:9">
      <c r="B990" s="184"/>
      <c r="D990" s="183"/>
      <c r="F990" s="23"/>
      <c r="H990" s="117"/>
      <c r="I990" s="117"/>
    </row>
    <row r="991" spans="2:9">
      <c r="B991" s="184"/>
      <c r="D991" s="183"/>
      <c r="F991" s="23"/>
      <c r="H991" s="117"/>
      <c r="I991" s="117"/>
    </row>
    <row r="992" spans="2:9">
      <c r="B992" s="184"/>
      <c r="D992" s="183"/>
      <c r="F992" s="23"/>
      <c r="H992" s="117"/>
      <c r="I992" s="117"/>
    </row>
    <row r="993" spans="2:9">
      <c r="B993" s="184"/>
      <c r="D993" s="183"/>
      <c r="F993" s="23"/>
      <c r="H993" s="117"/>
      <c r="I993" s="117"/>
    </row>
    <row r="994" spans="2:9">
      <c r="B994" s="184"/>
      <c r="D994" s="183"/>
      <c r="F994" s="23"/>
      <c r="H994" s="117"/>
      <c r="I994" s="117"/>
    </row>
    <row r="995" spans="2:9">
      <c r="B995" s="184"/>
      <c r="D995" s="183"/>
      <c r="F995" s="23"/>
      <c r="H995" s="117"/>
      <c r="I995" s="117"/>
    </row>
    <row r="996" spans="2:9">
      <c r="B996" s="184"/>
      <c r="D996" s="183"/>
      <c r="F996" s="23"/>
      <c r="H996" s="117"/>
      <c r="I996" s="117"/>
    </row>
    <row r="997" spans="2:9">
      <c r="B997" s="184"/>
      <c r="D997" s="183"/>
      <c r="F997" s="23"/>
      <c r="H997" s="117"/>
      <c r="I997" s="117"/>
    </row>
    <row r="998" spans="2:9">
      <c r="B998" s="184"/>
      <c r="D998" s="183"/>
      <c r="F998" s="23"/>
      <c r="H998" s="117"/>
      <c r="I998" s="117"/>
    </row>
    <row r="999" spans="2:9">
      <c r="B999" s="184"/>
      <c r="D999" s="183"/>
      <c r="F999" s="23"/>
      <c r="H999" s="117"/>
      <c r="I999" s="117"/>
    </row>
    <row r="1000" spans="2:9">
      <c r="B1000" s="184"/>
      <c r="D1000" s="183"/>
      <c r="F1000" s="23"/>
      <c r="H1000" s="117"/>
      <c r="I1000" s="117"/>
    </row>
    <row r="1001" spans="2:9">
      <c r="B1001" s="184"/>
      <c r="D1001" s="183"/>
      <c r="F1001" s="23"/>
      <c r="H1001" s="117"/>
      <c r="I1001" s="117"/>
    </row>
    <row r="1002" spans="2:9">
      <c r="B1002" s="184"/>
      <c r="D1002" s="183"/>
      <c r="F1002" s="23"/>
      <c r="H1002" s="117"/>
      <c r="I1002" s="117"/>
    </row>
    <row r="1003" spans="2:9">
      <c r="B1003" s="184"/>
      <c r="D1003" s="183"/>
      <c r="F1003" s="23"/>
      <c r="H1003" s="117"/>
      <c r="I1003" s="117"/>
    </row>
    <row r="1004" spans="2:9">
      <c r="B1004" s="184"/>
      <c r="D1004" s="183"/>
      <c r="F1004" s="23"/>
      <c r="H1004" s="117"/>
      <c r="I1004" s="117"/>
    </row>
    <row r="1005" spans="2:9">
      <c r="B1005" s="184"/>
      <c r="D1005" s="183"/>
      <c r="F1005" s="23"/>
      <c r="H1005" s="117"/>
      <c r="I1005" s="117"/>
    </row>
    <row r="1006" spans="2:9">
      <c r="B1006" s="184"/>
      <c r="D1006" s="183"/>
      <c r="F1006" s="23"/>
      <c r="H1006" s="117"/>
      <c r="I1006" s="117"/>
    </row>
    <row r="1007" spans="2:9">
      <c r="B1007" s="184"/>
      <c r="D1007" s="183"/>
      <c r="F1007" s="23"/>
      <c r="H1007" s="117"/>
      <c r="I1007" s="117"/>
    </row>
    <row r="1008" spans="2:9">
      <c r="B1008" s="184"/>
      <c r="D1008" s="183"/>
      <c r="F1008" s="23"/>
      <c r="H1008" s="117"/>
      <c r="I1008" s="117"/>
    </row>
    <row r="1009" spans="2:9">
      <c r="B1009" s="184"/>
      <c r="D1009" s="183"/>
      <c r="F1009" s="23"/>
      <c r="H1009" s="117"/>
      <c r="I1009" s="117"/>
    </row>
    <row r="1010" spans="2:9">
      <c r="B1010" s="184"/>
      <c r="D1010" s="183"/>
      <c r="F1010" s="23"/>
      <c r="H1010" s="117"/>
      <c r="I1010" s="117"/>
    </row>
    <row r="1011" spans="2:9">
      <c r="B1011" s="184"/>
      <c r="D1011" s="183"/>
      <c r="F1011" s="23"/>
      <c r="H1011" s="117"/>
      <c r="I1011" s="117"/>
    </row>
    <row r="1012" spans="2:9">
      <c r="B1012" s="184"/>
      <c r="D1012" s="183"/>
      <c r="F1012" s="23"/>
      <c r="H1012" s="117"/>
      <c r="I1012" s="117"/>
    </row>
    <row r="1013" spans="2:9">
      <c r="B1013" s="184"/>
      <c r="D1013" s="183"/>
      <c r="F1013" s="23"/>
      <c r="H1013" s="117"/>
      <c r="I1013" s="117"/>
    </row>
    <row r="1014" spans="2:9">
      <c r="B1014" s="184"/>
      <c r="D1014" s="183"/>
      <c r="F1014" s="23"/>
      <c r="H1014" s="117"/>
      <c r="I1014" s="117"/>
    </row>
    <row r="1015" spans="2:9">
      <c r="B1015" s="184"/>
      <c r="D1015" s="183"/>
      <c r="F1015" s="23"/>
      <c r="H1015" s="117"/>
      <c r="I1015" s="117"/>
    </row>
    <row r="1016" spans="2:9">
      <c r="B1016" s="184"/>
      <c r="D1016" s="183"/>
      <c r="F1016" s="23"/>
      <c r="H1016" s="117"/>
      <c r="I1016" s="117"/>
    </row>
    <row r="1017" spans="2:9">
      <c r="B1017" s="184"/>
      <c r="D1017" s="183"/>
      <c r="F1017" s="23"/>
      <c r="H1017" s="117"/>
      <c r="I1017" s="117"/>
    </row>
    <row r="1018" spans="2:9">
      <c r="B1018" s="184"/>
      <c r="D1018" s="183"/>
      <c r="F1018" s="23"/>
      <c r="H1018" s="117"/>
      <c r="I1018" s="117"/>
    </row>
    <row r="1019" spans="2:9">
      <c r="B1019" s="184"/>
      <c r="D1019" s="183"/>
      <c r="F1019" s="23"/>
      <c r="H1019" s="117"/>
      <c r="I1019" s="117"/>
    </row>
    <row r="1020" spans="2:9">
      <c r="B1020" s="184"/>
      <c r="D1020" s="183"/>
      <c r="F1020" s="23"/>
      <c r="H1020" s="117"/>
      <c r="I1020" s="117"/>
    </row>
    <row r="1021" spans="2:9">
      <c r="B1021" s="184"/>
      <c r="D1021" s="183"/>
      <c r="F1021" s="23"/>
      <c r="H1021" s="117"/>
      <c r="I1021" s="117"/>
    </row>
    <row r="1022" spans="2:9">
      <c r="B1022" s="184"/>
      <c r="D1022" s="183"/>
      <c r="F1022" s="23"/>
      <c r="H1022" s="117"/>
      <c r="I1022" s="117"/>
    </row>
    <row r="1023" spans="2:9">
      <c r="B1023" s="184"/>
      <c r="D1023" s="183"/>
      <c r="F1023" s="23"/>
      <c r="H1023" s="117"/>
      <c r="I1023" s="117"/>
    </row>
    <row r="1024" spans="2:9">
      <c r="B1024" s="184"/>
      <c r="D1024" s="183"/>
      <c r="F1024" s="23"/>
      <c r="H1024" s="117"/>
      <c r="I1024" s="117"/>
    </row>
    <row r="1025" spans="2:9">
      <c r="B1025" s="184"/>
      <c r="D1025" s="183"/>
      <c r="F1025" s="23"/>
      <c r="H1025" s="117"/>
      <c r="I1025" s="117"/>
    </row>
    <row r="1026" spans="2:9">
      <c r="B1026" s="184"/>
      <c r="D1026" s="183"/>
      <c r="F1026" s="23"/>
      <c r="H1026" s="117"/>
      <c r="I1026" s="117"/>
    </row>
    <row r="1027" spans="2:9">
      <c r="B1027" s="184"/>
      <c r="D1027" s="183"/>
      <c r="F1027" s="23"/>
      <c r="H1027" s="117"/>
      <c r="I1027" s="117"/>
    </row>
    <row r="1028" spans="2:9">
      <c r="B1028" s="184"/>
      <c r="D1028" s="183"/>
      <c r="F1028" s="23"/>
      <c r="H1028" s="117"/>
      <c r="I1028" s="117"/>
    </row>
    <row r="1029" spans="2:9">
      <c r="B1029" s="184"/>
      <c r="D1029" s="183"/>
      <c r="F1029" s="23"/>
      <c r="H1029" s="117"/>
      <c r="I1029" s="117"/>
    </row>
    <row r="1030" spans="2:9">
      <c r="B1030" s="184"/>
      <c r="D1030" s="183"/>
      <c r="F1030" s="23"/>
      <c r="H1030" s="117"/>
      <c r="I1030" s="117"/>
    </row>
    <row r="1031" spans="2:9">
      <c r="B1031" s="184"/>
      <c r="D1031" s="183"/>
      <c r="F1031" s="23"/>
      <c r="H1031" s="117"/>
      <c r="I1031" s="117"/>
    </row>
    <row r="1032" spans="2:9">
      <c r="B1032" s="184"/>
      <c r="D1032" s="183"/>
      <c r="F1032" s="23"/>
      <c r="H1032" s="117"/>
      <c r="I1032" s="117"/>
    </row>
    <row r="1033" spans="2:9">
      <c r="B1033" s="184"/>
      <c r="D1033" s="183"/>
      <c r="F1033" s="23"/>
      <c r="H1033" s="117"/>
      <c r="I1033" s="117"/>
    </row>
    <row r="1034" spans="2:9">
      <c r="B1034" s="184"/>
      <c r="D1034" s="183"/>
      <c r="F1034" s="23"/>
      <c r="H1034" s="117"/>
      <c r="I1034" s="117"/>
    </row>
    <row r="1035" spans="2:9">
      <c r="B1035" s="184"/>
      <c r="D1035" s="183"/>
      <c r="F1035" s="23"/>
      <c r="H1035" s="117"/>
      <c r="I1035" s="117"/>
    </row>
    <row r="1036" spans="2:9">
      <c r="B1036" s="184"/>
      <c r="D1036" s="183"/>
      <c r="F1036" s="23"/>
      <c r="H1036" s="117"/>
      <c r="I1036" s="117"/>
    </row>
    <row r="1037" spans="2:9">
      <c r="B1037" s="184"/>
      <c r="D1037" s="183"/>
      <c r="F1037" s="23"/>
      <c r="H1037" s="117"/>
      <c r="I1037" s="117"/>
    </row>
    <row r="1038" spans="2:9">
      <c r="B1038" s="184"/>
      <c r="D1038" s="183"/>
      <c r="F1038" s="23"/>
      <c r="H1038" s="117"/>
      <c r="I1038" s="117"/>
    </row>
    <row r="1039" spans="2:9">
      <c r="B1039" s="184"/>
      <c r="D1039" s="183"/>
      <c r="F1039" s="23"/>
      <c r="H1039" s="117"/>
      <c r="I1039" s="117"/>
    </row>
  </sheetData>
  <conditionalFormatting sqref="F92">
    <cfRule type="containsText" dxfId="515" priority="516" operator="containsText" text="F">
      <formula>NOT(ISERROR(SEARCH(("F"),(F92))))</formula>
    </cfRule>
  </conditionalFormatting>
  <conditionalFormatting sqref="O92">
    <cfRule type="expression" dxfId="514" priority="515">
      <formula>AND(ISNUMBER(O92),TRUNC(O92)&lt;TODAY())</formula>
    </cfRule>
  </conditionalFormatting>
  <conditionalFormatting sqref="P92">
    <cfRule type="expression" dxfId="513" priority="514">
      <formula>AND(ISNUMBER(P92),TRUNC(P92)&lt;TODAY())</formula>
    </cfRule>
  </conditionalFormatting>
  <conditionalFormatting sqref="Q92">
    <cfRule type="expression" dxfId="512" priority="513">
      <formula>AND(ISNUMBER(Q92),TRUNC(Q92)&lt;TODAY())</formula>
    </cfRule>
  </conditionalFormatting>
  <conditionalFormatting sqref="O114:Q115">
    <cfRule type="expression" dxfId="511" priority="512">
      <formula>AND(ISNUMBER(O114),TRUNC(O114)&lt;TODAY())</formula>
    </cfRule>
  </conditionalFormatting>
  <conditionalFormatting sqref="F114:F116">
    <cfRule type="containsText" dxfId="510" priority="511" operator="containsText" text="F">
      <formula>NOT(ISERROR(SEARCH(("F"),(F114))))</formula>
    </cfRule>
  </conditionalFormatting>
  <conditionalFormatting sqref="F91">
    <cfRule type="containsText" dxfId="509" priority="510" operator="containsText" text="F">
      <formula>NOT(ISERROR(SEARCH(("F"),(F91))))</formula>
    </cfRule>
  </conditionalFormatting>
  <conditionalFormatting sqref="O91:Q91">
    <cfRule type="expression" dxfId="508" priority="509">
      <formula>AND(ISNUMBER(O91),TRUNC(O91)&lt;TODAY())</formula>
    </cfRule>
  </conditionalFormatting>
  <conditionalFormatting sqref="F90">
    <cfRule type="containsText" dxfId="507" priority="508" operator="containsText" text="F">
      <formula>NOT(ISERROR(SEARCH(("F"),(F90))))</formula>
    </cfRule>
  </conditionalFormatting>
  <conditionalFormatting sqref="O90:Q90">
    <cfRule type="expression" dxfId="506" priority="507">
      <formula>AND(ISNUMBER(O90),TRUNC(O90)&lt;TODAY())</formula>
    </cfRule>
  </conditionalFormatting>
  <conditionalFormatting sqref="F47">
    <cfRule type="containsText" dxfId="505" priority="506" operator="containsText" text="F">
      <formula>NOT(ISERROR(SEARCH(("F"),(F47))))</formula>
    </cfRule>
  </conditionalFormatting>
  <conditionalFormatting sqref="O47:Q47">
    <cfRule type="expression" dxfId="504" priority="505">
      <formula>AND(ISNUMBER(O47),TRUNC(O47)&lt;TODAY())</formula>
    </cfRule>
  </conditionalFormatting>
  <conditionalFormatting sqref="F111:F112">
    <cfRule type="containsText" dxfId="503" priority="504" operator="containsText" text="F">
      <formula>NOT(ISERROR(SEARCH(("F"),(F111))))</formula>
    </cfRule>
  </conditionalFormatting>
  <conditionalFormatting sqref="O111:Q112">
    <cfRule type="expression" dxfId="502" priority="503">
      <formula>AND(ISNUMBER(O111),TRUNC(O111)&lt;TODAY())</formula>
    </cfRule>
  </conditionalFormatting>
  <conditionalFormatting sqref="O109:Q109">
    <cfRule type="expression" dxfId="501" priority="502">
      <formula>AND(ISNUMBER(O109),TRUNC(O109)&lt;TODAY())</formula>
    </cfRule>
  </conditionalFormatting>
  <conditionalFormatting sqref="F109">
    <cfRule type="containsText" dxfId="500" priority="501" operator="containsText" text="F">
      <formula>NOT(ISERROR(SEARCH(("F"),(F109))))</formula>
    </cfRule>
  </conditionalFormatting>
  <conditionalFormatting sqref="F73">
    <cfRule type="containsText" dxfId="499" priority="500" operator="containsText" text="F">
      <formula>NOT(ISERROR(SEARCH(("F"),(F73))))</formula>
    </cfRule>
  </conditionalFormatting>
  <conditionalFormatting sqref="Q73">
    <cfRule type="expression" dxfId="498" priority="499">
      <formula>AND(ISNUMBER(Q73),TRUNC(Q73)&lt;TODAY())</formula>
    </cfRule>
  </conditionalFormatting>
  <conditionalFormatting sqref="P73">
    <cfRule type="expression" dxfId="497" priority="498">
      <formula>AND(ISNUMBER(P73),TRUNC(P73)&lt;TODAY())</formula>
    </cfRule>
  </conditionalFormatting>
  <conditionalFormatting sqref="O73">
    <cfRule type="expression" dxfId="496" priority="497">
      <formula>AND(ISNUMBER(O73),TRUNC(O73)&lt;TODAY())</formula>
    </cfRule>
  </conditionalFormatting>
  <conditionalFormatting sqref="F107 F113">
    <cfRule type="containsText" dxfId="495" priority="496" operator="containsText" text="F">
      <formula>NOT(ISERROR(SEARCH(("F"),(F107))))</formula>
    </cfRule>
  </conditionalFormatting>
  <conditionalFormatting sqref="O107:Q107">
    <cfRule type="expression" dxfId="494" priority="495">
      <formula>AND(ISNUMBER(O107),TRUNC(O107)&lt;TODAY())</formula>
    </cfRule>
  </conditionalFormatting>
  <conditionalFormatting sqref="F105">
    <cfRule type="containsText" dxfId="493" priority="494" operator="containsText" text="F">
      <formula>NOT(ISERROR(SEARCH(("F"),(F105))))</formula>
    </cfRule>
  </conditionalFormatting>
  <conditionalFormatting sqref="O89:Q89">
    <cfRule type="expression" dxfId="492" priority="493">
      <formula>AND(ISNUMBER(O89),TRUNC(O89)&lt;TODAY())</formula>
    </cfRule>
  </conditionalFormatting>
  <conditionalFormatting sqref="F89">
    <cfRule type="containsText" dxfId="491" priority="492" operator="containsText" text="F">
      <formula>NOT(ISERROR(SEARCH(("F"),(F89))))</formula>
    </cfRule>
  </conditionalFormatting>
  <conditionalFormatting sqref="O46:Q46">
    <cfRule type="expression" dxfId="490" priority="491">
      <formula>AND(ISNUMBER(O46),TRUNC(O46)&lt;TODAY())</formula>
    </cfRule>
  </conditionalFormatting>
  <conditionalFormatting sqref="F46">
    <cfRule type="containsText" dxfId="489" priority="490" operator="containsText" text="F">
      <formula>NOT(ISERROR(SEARCH(("F"),(F46))))</formula>
    </cfRule>
  </conditionalFormatting>
  <conditionalFormatting sqref="O72:Q72">
    <cfRule type="expression" dxfId="488" priority="489">
      <formula>AND(ISNUMBER(O72),TRUNC(O72)&lt;TODAY())</formula>
    </cfRule>
  </conditionalFormatting>
  <conditionalFormatting sqref="F72">
    <cfRule type="containsText" dxfId="487" priority="488" operator="containsText" text="F">
      <formula>NOT(ISERROR(SEARCH(("F"),(F72))))</formula>
    </cfRule>
  </conditionalFormatting>
  <conditionalFormatting sqref="P71">
    <cfRule type="expression" dxfId="486" priority="487">
      <formula>AND(ISNUMBER(P71),TRUNC(P71)&lt;TODAY())</formula>
    </cfRule>
  </conditionalFormatting>
  <conditionalFormatting sqref="Q71">
    <cfRule type="expression" dxfId="485" priority="486">
      <formula>AND(ISNUMBER(Q71),TRUNC(Q71)&lt;TODAY())</formula>
    </cfRule>
  </conditionalFormatting>
  <conditionalFormatting sqref="O71">
    <cfRule type="expression" dxfId="484" priority="485">
      <formula>AND(ISNUMBER(O71),TRUNC(O71)&lt;TODAY())</formula>
    </cfRule>
  </conditionalFormatting>
  <conditionalFormatting sqref="F71">
    <cfRule type="containsText" dxfId="483" priority="484" operator="containsText" text="F">
      <formula>NOT(ISERROR(SEARCH(("F"),(F71))))</formula>
    </cfRule>
  </conditionalFormatting>
  <conditionalFormatting sqref="O45:Q45">
    <cfRule type="expression" dxfId="482" priority="483">
      <formula>AND(ISNUMBER(O45),TRUNC(O45)&lt;TODAY())</formula>
    </cfRule>
  </conditionalFormatting>
  <conditionalFormatting sqref="P45">
    <cfRule type="expression" dxfId="481" priority="482">
      <formula>AND(ISNUMBER(P45),TRUNC(P45)&lt;TODAY())</formula>
    </cfRule>
  </conditionalFormatting>
  <conditionalFormatting sqref="F45">
    <cfRule type="containsText" dxfId="480" priority="481" operator="containsText" text="F">
      <formula>NOT(ISERROR(SEARCH(("F"),(F45))))</formula>
    </cfRule>
  </conditionalFormatting>
  <conditionalFormatting sqref="F101">
    <cfRule type="containsText" dxfId="479" priority="480" operator="containsText" text="F">
      <formula>NOT(ISERROR(SEARCH(("F"),(F101))))</formula>
    </cfRule>
  </conditionalFormatting>
  <conditionalFormatting sqref="O101">
    <cfRule type="expression" dxfId="478" priority="479">
      <formula>AND(ISNUMBER(O101),TRUNC(O101)&lt;TODAY())</formula>
    </cfRule>
  </conditionalFormatting>
  <conditionalFormatting sqref="P101">
    <cfRule type="expression" dxfId="477" priority="478">
      <formula>AND(ISNUMBER(P101),TRUNC(P101)&lt;TODAY())</formula>
    </cfRule>
  </conditionalFormatting>
  <conditionalFormatting sqref="P101">
    <cfRule type="expression" dxfId="476" priority="477">
      <formula>AND(ISNUMBER(P101),TRUNC(P101)&lt;TODAY())</formula>
    </cfRule>
  </conditionalFormatting>
  <conditionalFormatting sqref="Q101">
    <cfRule type="expression" dxfId="475" priority="476">
      <formula>AND(ISNUMBER(Q101),TRUNC(Q101)&lt;TODAY())</formula>
    </cfRule>
  </conditionalFormatting>
  <conditionalFormatting sqref="V101">
    <cfRule type="notContainsBlanks" dxfId="474" priority="475">
      <formula>LEN(TRIM(V101))&gt;0</formula>
    </cfRule>
  </conditionalFormatting>
  <conditionalFormatting sqref="F44">
    <cfRule type="containsText" dxfId="473" priority="474" operator="containsText" text="F">
      <formula>NOT(ISERROR(SEARCH(("F"),(F44))))</formula>
    </cfRule>
  </conditionalFormatting>
  <conditionalFormatting sqref="O44:Q44">
    <cfRule type="expression" dxfId="472" priority="473">
      <formula>AND(ISNUMBER(O44),TRUNC(O44)&lt;TODAY())</formula>
    </cfRule>
  </conditionalFormatting>
  <conditionalFormatting sqref="F43">
    <cfRule type="containsText" dxfId="471" priority="472" operator="containsText" text="F">
      <formula>NOT(ISERROR(SEARCH(("F"),(F43))))</formula>
    </cfRule>
  </conditionalFormatting>
  <conditionalFormatting sqref="O43">
    <cfRule type="expression" dxfId="470" priority="471">
      <formula>AND(ISNUMBER(O43),TRUNC(O43)&lt;TODAY())</formula>
    </cfRule>
  </conditionalFormatting>
  <conditionalFormatting sqref="P43">
    <cfRule type="expression" dxfId="469" priority="470">
      <formula>AND(ISNUMBER(P43),TRUNC(P43)&lt;TODAY())</formula>
    </cfRule>
  </conditionalFormatting>
  <conditionalFormatting sqref="Q43">
    <cfRule type="expression" dxfId="468" priority="469">
      <formula>AND(ISNUMBER(Q43),TRUNC(Q43)&lt;TODAY())</formula>
    </cfRule>
  </conditionalFormatting>
  <conditionalFormatting sqref="F64">
    <cfRule type="containsText" dxfId="467" priority="468" operator="containsText" text="F">
      <formula>NOT(ISERROR(SEARCH(("F"),(F64))))</formula>
    </cfRule>
  </conditionalFormatting>
  <conditionalFormatting sqref="O64">
    <cfRule type="expression" dxfId="466" priority="467">
      <formula>AND(ISNUMBER(O64),TRUNC(O64)&lt;TODAY())</formula>
    </cfRule>
  </conditionalFormatting>
  <conditionalFormatting sqref="Q64">
    <cfRule type="expression" dxfId="465" priority="466">
      <formula>AND(ISNUMBER(Q64),TRUNC(Q64)&lt;TODAY())</formula>
    </cfRule>
  </conditionalFormatting>
  <conditionalFormatting sqref="P64">
    <cfRule type="expression" dxfId="464" priority="465">
      <formula>AND(ISNUMBER(P64),TRUNC(P64)&lt;TODAY())</formula>
    </cfRule>
  </conditionalFormatting>
  <conditionalFormatting sqref="Q63">
    <cfRule type="expression" dxfId="463" priority="464">
      <formula>AND(ISNUMBER(Q63),TRUNC(Q63)&lt;TODAY())</formula>
    </cfRule>
  </conditionalFormatting>
  <conditionalFormatting sqref="P63">
    <cfRule type="expression" dxfId="462" priority="463">
      <formula>AND(ISNUMBER(P63),TRUNC(P63)&lt;TODAY())</formula>
    </cfRule>
  </conditionalFormatting>
  <conditionalFormatting sqref="O63">
    <cfRule type="expression" dxfId="461" priority="462">
      <formula>AND(ISNUMBER(O63),TRUNC(O63)&lt;TODAY())</formula>
    </cfRule>
  </conditionalFormatting>
  <conditionalFormatting sqref="F63">
    <cfRule type="containsText" dxfId="460" priority="461" operator="containsText" text="F">
      <formula>NOT(ISERROR(SEARCH(("F"),(F63))))</formula>
    </cfRule>
  </conditionalFormatting>
  <conditionalFormatting sqref="F42">
    <cfRule type="containsText" dxfId="459" priority="460" operator="containsText" text="F">
      <formula>NOT(ISERROR(SEARCH(("F"),(F42))))</formula>
    </cfRule>
  </conditionalFormatting>
  <conditionalFormatting sqref="Q42">
    <cfRule type="expression" dxfId="458" priority="459">
      <formula>AND(ISNUMBER(Q42),TRUNC(Q42)&lt;TODAY())</formula>
    </cfRule>
  </conditionalFormatting>
  <conditionalFormatting sqref="O42:Q42">
    <cfRule type="expression" dxfId="457" priority="458">
      <formula>AND(ISNUMBER(O42),TRUNC(O42)&lt;TODAY())</formula>
    </cfRule>
  </conditionalFormatting>
  <conditionalFormatting sqref="F41">
    <cfRule type="containsText" dxfId="456" priority="457" operator="containsText" text="F">
      <formula>NOT(ISERROR(SEARCH(("F"),(F41))))</formula>
    </cfRule>
  </conditionalFormatting>
  <conditionalFormatting sqref="V41">
    <cfRule type="notContainsBlanks" dxfId="455" priority="456">
      <formula>LEN(TRIM(V41))&gt;0</formula>
    </cfRule>
  </conditionalFormatting>
  <conditionalFormatting sqref="O41">
    <cfRule type="expression" dxfId="454" priority="455">
      <formula>AND(ISNUMBER(O41),TRUNC(O41)&lt;TODAY())</formula>
    </cfRule>
  </conditionalFormatting>
  <conditionalFormatting sqref="P41">
    <cfRule type="expression" dxfId="453" priority="454">
      <formula>AND(ISNUMBER(P41),TRUNC(P41)&lt;TODAY())</formula>
    </cfRule>
  </conditionalFormatting>
  <conditionalFormatting sqref="P41:Q41">
    <cfRule type="expression" dxfId="452" priority="453">
      <formula>AND(ISNUMBER(P41),TRUNC(P41)&lt;TODAY())</formula>
    </cfRule>
  </conditionalFormatting>
  <conditionalFormatting sqref="F40">
    <cfRule type="containsText" dxfId="451" priority="452" operator="containsText" text="F">
      <formula>NOT(ISERROR(SEARCH(("F"),(F40))))</formula>
    </cfRule>
  </conditionalFormatting>
  <conditionalFormatting sqref="P40">
    <cfRule type="expression" dxfId="450" priority="451">
      <formula>P40&lt;44165</formula>
    </cfRule>
  </conditionalFormatting>
  <conditionalFormatting sqref="Q40">
    <cfRule type="expression" dxfId="449" priority="450">
      <formula>AND(ISNUMBER(Q40),TRUNC(Q40)&lt;TODAY())</formula>
    </cfRule>
  </conditionalFormatting>
  <conditionalFormatting sqref="O40">
    <cfRule type="expression" dxfId="448" priority="449">
      <formula>AND(ISNUMBER(O40),TRUNC(O40)&lt;TODAY())</formula>
    </cfRule>
  </conditionalFormatting>
  <conditionalFormatting sqref="F39">
    <cfRule type="containsText" dxfId="447" priority="448" operator="containsText" text="F">
      <formula>NOT(ISERROR(SEARCH(("F"),(F39))))</formula>
    </cfRule>
  </conditionalFormatting>
  <conditionalFormatting sqref="O39:Q39">
    <cfRule type="expression" dxfId="446" priority="447">
      <formula>AND(ISNUMBER(O39),TRUNC(O39)&lt;TODAY())</formula>
    </cfRule>
  </conditionalFormatting>
  <conditionalFormatting sqref="F38">
    <cfRule type="containsText" dxfId="445" priority="446" operator="containsText" text="F">
      <formula>NOT(ISERROR(SEARCH(("F"),(F38))))</formula>
    </cfRule>
  </conditionalFormatting>
  <conditionalFormatting sqref="O38:Q38">
    <cfRule type="expression" dxfId="444" priority="445">
      <formula>AND(ISNUMBER(O38),TRUNC(O38)&lt;TODAY())</formula>
    </cfRule>
  </conditionalFormatting>
  <conditionalFormatting sqref="Q37">
    <cfRule type="expression" dxfId="443" priority="444">
      <formula>AND(ISNUMBER(Q37),TRUNC(Q37)&lt;TODAY())</formula>
    </cfRule>
  </conditionalFormatting>
  <conditionalFormatting sqref="O37:Q37">
    <cfRule type="expression" dxfId="442" priority="443">
      <formula>AND(ISNUMBER(O37),TRUNC(O37)&lt;TODAY())</formula>
    </cfRule>
  </conditionalFormatting>
  <conditionalFormatting sqref="F37">
    <cfRule type="containsText" dxfId="441" priority="442" operator="containsText" text="F">
      <formula>NOT(ISERROR(SEARCH(("F"),(F37))))</formula>
    </cfRule>
  </conditionalFormatting>
  <conditionalFormatting sqref="O36:Q36">
    <cfRule type="expression" dxfId="440" priority="441">
      <formula>AND(ISNUMBER(O36),TRUNC(O36)&lt;TODAY())</formula>
    </cfRule>
  </conditionalFormatting>
  <conditionalFormatting sqref="O35:Q35">
    <cfRule type="expression" dxfId="439" priority="440">
      <formula>AND(ISNUMBER(O35),TRUNC(O35)&lt;TODAY())</formula>
    </cfRule>
  </conditionalFormatting>
  <conditionalFormatting sqref="O34:Q34">
    <cfRule type="expression" dxfId="438" priority="439">
      <formula>AND(ISNUMBER(O34),TRUNC(O34)&lt;TODAY())</formula>
    </cfRule>
  </conditionalFormatting>
  <conditionalFormatting sqref="F34">
    <cfRule type="containsText" dxfId="437" priority="438" operator="containsText" text="F">
      <formula>NOT(ISERROR(SEARCH(("F"),(F34))))</formula>
    </cfRule>
  </conditionalFormatting>
  <conditionalFormatting sqref="O33">
    <cfRule type="expression" dxfId="436" priority="437">
      <formula>AND(ISNUMBER(O33),TRUNC(O33)&lt;TODAY())</formula>
    </cfRule>
  </conditionalFormatting>
  <conditionalFormatting sqref="F33">
    <cfRule type="containsText" dxfId="435" priority="436" operator="containsText" text="F">
      <formula>NOT(ISERROR(SEARCH(("F"),(F33))))</formula>
    </cfRule>
  </conditionalFormatting>
  <conditionalFormatting sqref="P33">
    <cfRule type="expression" dxfId="434" priority="435">
      <formula>AND(ISNUMBER(P33),TRUNC(P33)&lt;TODAY())</formula>
    </cfRule>
  </conditionalFormatting>
  <conditionalFormatting sqref="P33">
    <cfRule type="expression" dxfId="433" priority="434">
      <formula>AND(ISNUMBER(P33),TRUNC(P33)&lt;TODAY())</formula>
    </cfRule>
  </conditionalFormatting>
  <conditionalFormatting sqref="V33">
    <cfRule type="notContainsBlanks" dxfId="432" priority="433">
      <formula>LEN(TRIM(V33))&gt;0</formula>
    </cfRule>
  </conditionalFormatting>
  <conditionalFormatting sqref="F32">
    <cfRule type="containsText" dxfId="431" priority="432" operator="containsText" text="F">
      <formula>NOT(ISERROR(SEARCH(("F"),(F32))))</formula>
    </cfRule>
  </conditionalFormatting>
  <conditionalFormatting sqref="O32:Q32">
    <cfRule type="expression" dxfId="430" priority="431">
      <formula>AND(ISNUMBER(O32),TRUNC(O32)&lt;TODAY())</formula>
    </cfRule>
  </conditionalFormatting>
  <conditionalFormatting sqref="F31">
    <cfRule type="containsText" dxfId="429" priority="430" operator="containsText" text="F">
      <formula>NOT(ISERROR(SEARCH(("F"),(F31))))</formula>
    </cfRule>
  </conditionalFormatting>
  <conditionalFormatting sqref="O31:Q31">
    <cfRule type="expression" dxfId="428" priority="429">
      <formula>AND(ISNUMBER(O31),TRUNC(O31)&lt;TODAY())</formula>
    </cfRule>
  </conditionalFormatting>
  <conditionalFormatting sqref="O100:Q100">
    <cfRule type="expression" dxfId="427" priority="428">
      <formula>AND(ISNUMBER(O100),TRUNC(O100)&lt;TODAY())</formula>
    </cfRule>
  </conditionalFormatting>
  <conditionalFormatting sqref="F100">
    <cfRule type="containsText" dxfId="426" priority="427" operator="containsText" text="F">
      <formula>NOT(ISERROR(SEARCH(("F"),(F100))))</formula>
    </cfRule>
  </conditionalFormatting>
  <conditionalFormatting sqref="F99">
    <cfRule type="containsText" dxfId="425" priority="426" operator="containsText" text="F">
      <formula>NOT(ISERROR(SEARCH(("F"),(F99))))</formula>
    </cfRule>
  </conditionalFormatting>
  <conditionalFormatting sqref="O99:Q99">
    <cfRule type="expression" dxfId="424" priority="425">
      <formula>AND(ISNUMBER(O99),TRUNC(O99)&lt;TODAY())</formula>
    </cfRule>
  </conditionalFormatting>
  <conditionalFormatting sqref="F88">
    <cfRule type="containsText" dxfId="423" priority="424" operator="containsText" text="F">
      <formula>NOT(ISERROR(SEARCH(("F"),(F88))))</formula>
    </cfRule>
  </conditionalFormatting>
  <conditionalFormatting sqref="O88:Q88">
    <cfRule type="expression" dxfId="422" priority="423">
      <formula>AND(ISNUMBER(O88),TRUNC(O88)&lt;TODAY())</formula>
    </cfRule>
  </conditionalFormatting>
  <conditionalFormatting sqref="V87">
    <cfRule type="notContainsBlanks" dxfId="421" priority="422">
      <formula>LEN(TRIM(V87))&gt;0</formula>
    </cfRule>
  </conditionalFormatting>
  <conditionalFormatting sqref="F87">
    <cfRule type="containsText" dxfId="420" priority="421" operator="containsText" text="F">
      <formula>NOT(ISERROR(SEARCH(("F"),(F87))))</formula>
    </cfRule>
  </conditionalFormatting>
  <conditionalFormatting sqref="O87">
    <cfRule type="expression" dxfId="419" priority="420">
      <formula>AND(ISNUMBER(O87),TRUNC(O87)&lt;TODAY())</formula>
    </cfRule>
  </conditionalFormatting>
  <conditionalFormatting sqref="Q87">
    <cfRule type="expression" dxfId="418" priority="419">
      <formula>AND(ISNUMBER(Q87),TRUNC(Q87)&lt;TODAY())</formula>
    </cfRule>
  </conditionalFormatting>
  <conditionalFormatting sqref="P87">
    <cfRule type="expression" dxfId="417" priority="418">
      <formula>AND(ISNUMBER(P87),TRUNC(P87)&lt;TODAY())</formula>
    </cfRule>
  </conditionalFormatting>
  <conditionalFormatting sqref="O86:Q86">
    <cfRule type="expression" dxfId="416" priority="417">
      <formula>AND(ISNUMBER(O86),TRUNC(O86)&lt;TODAY())</formula>
    </cfRule>
  </conditionalFormatting>
  <conditionalFormatting sqref="F86">
    <cfRule type="containsText" dxfId="415" priority="416" operator="containsText" text="F">
      <formula>NOT(ISERROR(SEARCH(("F"),(F86))))</formula>
    </cfRule>
  </conditionalFormatting>
  <conditionalFormatting sqref="F85">
    <cfRule type="containsText" dxfId="414" priority="415" operator="containsText" text="F">
      <formula>NOT(ISERROR(SEARCH(("F"),(F85))))</formula>
    </cfRule>
  </conditionalFormatting>
  <conditionalFormatting sqref="O85:Q85">
    <cfRule type="expression" dxfId="413" priority="414">
      <formula>AND(ISNUMBER(O85),TRUNC(O85)&lt;TODAY())</formula>
    </cfRule>
  </conditionalFormatting>
  <conditionalFormatting sqref="V84">
    <cfRule type="notContainsBlanks" dxfId="412" priority="413">
      <formula>LEN(TRIM(V84))&gt;0</formula>
    </cfRule>
  </conditionalFormatting>
  <conditionalFormatting sqref="F84">
    <cfRule type="containsText" dxfId="411" priority="412" operator="containsText" text="F">
      <formula>NOT(ISERROR(SEARCH(("F"),(F84))))</formula>
    </cfRule>
  </conditionalFormatting>
  <conditionalFormatting sqref="Q84">
    <cfRule type="expression" dxfId="410" priority="411">
      <formula>AND(ISNUMBER(Q84),TRUNC(Q84)&lt;TODAY())</formula>
    </cfRule>
  </conditionalFormatting>
  <conditionalFormatting sqref="P84">
    <cfRule type="expression" dxfId="409" priority="410">
      <formula>AND(ISNUMBER(P84),TRUNC(P84)&lt;TODAY())</formula>
    </cfRule>
  </conditionalFormatting>
  <conditionalFormatting sqref="O84">
    <cfRule type="expression" dxfId="408" priority="409">
      <formula>AND(ISNUMBER(O84),TRUNC(O84)&lt;TODAY())</formula>
    </cfRule>
  </conditionalFormatting>
  <conditionalFormatting sqref="P83">
    <cfRule type="expression" dxfId="407" priority="408">
      <formula>AND(ISNUMBER(P83),TRUNC(P83)&lt;TODAY())</formula>
    </cfRule>
  </conditionalFormatting>
  <conditionalFormatting sqref="Q83">
    <cfRule type="expression" dxfId="406" priority="407">
      <formula>AND(ISNUMBER(Q83),TRUNC(Q83)&lt;TODAY())</formula>
    </cfRule>
  </conditionalFormatting>
  <conditionalFormatting sqref="Q83">
    <cfRule type="expression" dxfId="405" priority="406">
      <formula>AND(ISNUMBER(Q83),TRUNC(Q83)&lt;TODAY())</formula>
    </cfRule>
  </conditionalFormatting>
  <conditionalFormatting sqref="O83">
    <cfRule type="expression" dxfId="404" priority="405">
      <formula>AND(ISNUMBER(O83),TRUNC(O83)&lt;TODAY())</formula>
    </cfRule>
  </conditionalFormatting>
  <conditionalFormatting sqref="F83">
    <cfRule type="containsText" dxfId="403" priority="404" operator="containsText" text="F">
      <formula>NOT(ISERROR(SEARCH(("F"),(F83))))</formula>
    </cfRule>
  </conditionalFormatting>
  <conditionalFormatting sqref="V83">
    <cfRule type="notContainsBlanks" dxfId="402" priority="403">
      <formula>LEN(TRIM(V83))&gt;0</formula>
    </cfRule>
  </conditionalFormatting>
  <conditionalFormatting sqref="O82:Q82">
    <cfRule type="expression" dxfId="401" priority="402">
      <formula>AND(ISNUMBER(O82),TRUNC(O82)&lt;TODAY())</formula>
    </cfRule>
  </conditionalFormatting>
  <conditionalFormatting sqref="F82">
    <cfRule type="containsText" dxfId="400" priority="401" operator="containsText" text="F">
      <formula>NOT(ISERROR(SEARCH(("F"),(F82))))</formula>
    </cfRule>
  </conditionalFormatting>
  <conditionalFormatting sqref="O30:Q30">
    <cfRule type="expression" dxfId="399" priority="400">
      <formula>AND(ISNUMBER(O30),TRUNC(O30)&lt;TODAY())</formula>
    </cfRule>
  </conditionalFormatting>
  <conditionalFormatting sqref="F29">
    <cfRule type="containsText" dxfId="398" priority="399" operator="containsText" text="F">
      <formula>NOT(ISERROR(SEARCH(("F"),(F29))))</formula>
    </cfRule>
  </conditionalFormatting>
  <conditionalFormatting sqref="Q29">
    <cfRule type="expression" dxfId="397" priority="398">
      <formula>AND(ISNUMBER(Q29),TRUNC(Q29)&lt;TODAY())</formula>
    </cfRule>
  </conditionalFormatting>
  <conditionalFormatting sqref="P29">
    <cfRule type="expression" dxfId="396" priority="397">
      <formula>AND(ISNUMBER(P29),TRUNC(P29)&lt;TODAY())</formula>
    </cfRule>
  </conditionalFormatting>
  <conditionalFormatting sqref="P29">
    <cfRule type="expression" dxfId="395" priority="396">
      <formula>AND(ISNUMBER(P29),TRUNC(P29)&lt;TODAY())</formula>
    </cfRule>
  </conditionalFormatting>
  <conditionalFormatting sqref="O29:P29">
    <cfRule type="expression" dxfId="394" priority="395">
      <formula>AND(ISNUMBER(O29),TRUNC(O29)&lt;TODAY())</formula>
    </cfRule>
  </conditionalFormatting>
  <conditionalFormatting sqref="F28">
    <cfRule type="containsText" dxfId="393" priority="394" operator="containsText" text="F">
      <formula>NOT(ISERROR(SEARCH(("F"),(F28))))</formula>
    </cfRule>
  </conditionalFormatting>
  <conditionalFormatting sqref="O28:Q28">
    <cfRule type="expression" dxfId="392" priority="393">
      <formula>AND(ISNUMBER(O28),TRUNC(O28)&lt;TODAY())</formula>
    </cfRule>
  </conditionalFormatting>
  <conditionalFormatting sqref="F62">
    <cfRule type="containsText" dxfId="391" priority="392" operator="containsText" text="F">
      <formula>NOT(ISERROR(SEARCH(("F"),(F62))))</formula>
    </cfRule>
  </conditionalFormatting>
  <conditionalFormatting sqref="O62:Q62">
    <cfRule type="expression" dxfId="390" priority="391">
      <formula>AND(ISNUMBER(O62),TRUNC(O62)&lt;TODAY())</formula>
    </cfRule>
  </conditionalFormatting>
  <conditionalFormatting sqref="F27">
    <cfRule type="containsText" dxfId="389" priority="390" operator="containsText" text="F">
      <formula>NOT(ISERROR(SEARCH(("F"),(F27))))</formula>
    </cfRule>
  </conditionalFormatting>
  <conditionalFormatting sqref="O27:Q27">
    <cfRule type="expression" dxfId="388" priority="389">
      <formula>AND(ISNUMBER(O27),TRUNC(O27)&lt;TODAY())</formula>
    </cfRule>
  </conditionalFormatting>
  <conditionalFormatting sqref="F26">
    <cfRule type="containsText" dxfId="387" priority="388" operator="containsText" text="F">
      <formula>NOT(ISERROR(SEARCH(("F"),(F26))))</formula>
    </cfRule>
  </conditionalFormatting>
  <conditionalFormatting sqref="O26:Q26">
    <cfRule type="expression" dxfId="386" priority="387">
      <formula>AND(ISNUMBER(O26),TRUNC(O26)&lt;TODAY())</formula>
    </cfRule>
  </conditionalFormatting>
  <conditionalFormatting sqref="F25">
    <cfRule type="containsText" dxfId="385" priority="386" operator="containsText" text="F">
      <formula>NOT(ISERROR(SEARCH(("F"),(F25))))</formula>
    </cfRule>
  </conditionalFormatting>
  <conditionalFormatting sqref="O25:Q25">
    <cfRule type="expression" dxfId="384" priority="385">
      <formula>AND(ISNUMBER(O25),TRUNC(O25)&lt;TODAY())</formula>
    </cfRule>
  </conditionalFormatting>
  <conditionalFormatting sqref="O24:Q24">
    <cfRule type="expression" dxfId="383" priority="384">
      <formula>AND(ISNUMBER(O24),TRUNC(O24)&lt;TODAY())</formula>
    </cfRule>
  </conditionalFormatting>
  <conditionalFormatting sqref="P23">
    <cfRule type="expression" dxfId="382" priority="383">
      <formula>AND(ISNUMBER(P23),TRUNC(P23)&lt;TODAY())</formula>
    </cfRule>
  </conditionalFormatting>
  <conditionalFormatting sqref="O23:Q23">
    <cfRule type="expression" dxfId="381" priority="382">
      <formula>AND(ISNUMBER(O23),TRUNC(O23)&lt;TODAY())</formula>
    </cfRule>
  </conditionalFormatting>
  <conditionalFormatting sqref="O22:Q22">
    <cfRule type="expression" dxfId="380" priority="381">
      <formula>AND(ISNUMBER(O22),TRUNC(O22)&lt;TODAY())</formula>
    </cfRule>
  </conditionalFormatting>
  <conditionalFormatting sqref="P22">
    <cfRule type="expression" dxfId="379" priority="380">
      <formula>AND(ISNUMBER(P22),TRUNC(P22)&lt;TODAY())</formula>
    </cfRule>
  </conditionalFormatting>
  <conditionalFormatting sqref="V21">
    <cfRule type="notContainsBlanks" dxfId="378" priority="379">
      <formula>LEN(TRIM(V21))&gt;0</formula>
    </cfRule>
  </conditionalFormatting>
  <conditionalFormatting sqref="F21">
    <cfRule type="containsText" dxfId="377" priority="378" operator="containsText" text="F">
      <formula>NOT(ISERROR(SEARCH(("F"),(F21))))</formula>
    </cfRule>
  </conditionalFormatting>
  <conditionalFormatting sqref="P21:Q21">
    <cfRule type="expression" dxfId="376" priority="377">
      <formula>AND(ISNUMBER(P21),TRUNC(P21)&lt;TODAY())</formula>
    </cfRule>
  </conditionalFormatting>
  <conditionalFormatting sqref="Q21">
    <cfRule type="expression" dxfId="375" priority="376">
      <formula>AND(ISNUMBER(Q21),TRUNC(Q21)&lt;TODAY())</formula>
    </cfRule>
  </conditionalFormatting>
  <conditionalFormatting sqref="O21">
    <cfRule type="expression" dxfId="374" priority="375">
      <formula>AND(ISNUMBER(O21),TRUNC(O21)&lt;TODAY())</formula>
    </cfRule>
  </conditionalFormatting>
  <conditionalFormatting sqref="F61">
    <cfRule type="containsText" dxfId="373" priority="374" operator="containsText" text="F">
      <formula>NOT(ISERROR(SEARCH(("F"),(F61))))</formula>
    </cfRule>
  </conditionalFormatting>
  <conditionalFormatting sqref="O61">
    <cfRule type="expression" dxfId="372" priority="373">
      <formula>AND(ISNUMBER(O61),TRUNC(O61)&lt;TODAY())</formula>
    </cfRule>
  </conditionalFormatting>
  <conditionalFormatting sqref="Q61">
    <cfRule type="expression" dxfId="371" priority="372">
      <formula>AND(ISNUMBER(Q61),TRUNC(Q61)&lt;TODAY())</formula>
    </cfRule>
  </conditionalFormatting>
  <conditionalFormatting sqref="P61">
    <cfRule type="expression" dxfId="370" priority="371">
      <formula>AND(ISNUMBER(P61),TRUNC(P61)&lt;TODAY())</formula>
    </cfRule>
  </conditionalFormatting>
  <conditionalFormatting sqref="F60">
    <cfRule type="containsText" dxfId="369" priority="370" operator="containsText" text="F">
      <formula>NOT(ISERROR(SEARCH(("F"),(F60))))</formula>
    </cfRule>
  </conditionalFormatting>
  <conditionalFormatting sqref="Q60">
    <cfRule type="expression" dxfId="368" priority="369">
      <formula>AND(ISNUMBER(Q60),TRUNC(Q60)&lt;TODAY())</formula>
    </cfRule>
  </conditionalFormatting>
  <conditionalFormatting sqref="P60">
    <cfRule type="expression" dxfId="367" priority="368">
      <formula>AND(ISNUMBER(P60),TRUNC(P60)&lt;TODAY())</formula>
    </cfRule>
  </conditionalFormatting>
  <conditionalFormatting sqref="O60">
    <cfRule type="expression" dxfId="366" priority="367">
      <formula>AND(ISNUMBER(O60),TRUNC(O60)&lt;TODAY())</formula>
    </cfRule>
  </conditionalFormatting>
  <conditionalFormatting sqref="Q59">
    <cfRule type="expression" dxfId="365" priority="366">
      <formula>AND(ISNUMBER(Q59),TRUNC(Q59)&lt;TODAY())</formula>
    </cfRule>
  </conditionalFormatting>
  <conditionalFormatting sqref="P59">
    <cfRule type="expression" dxfId="364" priority="365">
      <formula>AND(ISNUMBER(P59),TRUNC(P59)&lt;TODAY())</formula>
    </cfRule>
  </conditionalFormatting>
  <conditionalFormatting sqref="F59">
    <cfRule type="containsText" dxfId="363" priority="364" operator="containsText" text="F">
      <formula>NOT(ISERROR(SEARCH(("F"),(F59))))</formula>
    </cfRule>
  </conditionalFormatting>
  <conditionalFormatting sqref="F58">
    <cfRule type="containsText" dxfId="362" priority="363" operator="containsText" text="F">
      <formula>NOT(ISERROR(SEARCH(("F"),(F58))))</formula>
    </cfRule>
  </conditionalFormatting>
  <conditionalFormatting sqref="O58:Q58">
    <cfRule type="expression" dxfId="361" priority="362">
      <formula>AND(ISNUMBER(O58),TRUNC(O58)&lt;TODAY())</formula>
    </cfRule>
  </conditionalFormatting>
  <conditionalFormatting sqref="O57:Q57">
    <cfRule type="expression" dxfId="360" priority="361">
      <formula>AND(ISNUMBER(O57),TRUNC(O57)&lt;TODAY())</formula>
    </cfRule>
  </conditionalFormatting>
  <conditionalFormatting sqref="F57">
    <cfRule type="containsText" dxfId="359" priority="360" operator="containsText" text="F">
      <formula>NOT(ISERROR(SEARCH(("F"),(F57))))</formula>
    </cfRule>
  </conditionalFormatting>
  <conditionalFormatting sqref="F56">
    <cfRule type="containsText" dxfId="358" priority="359" operator="containsText" text="F">
      <formula>NOT(ISERROR(SEARCH(("F"),(F56))))</formula>
    </cfRule>
  </conditionalFormatting>
  <conditionalFormatting sqref="P55">
    <cfRule type="expression" dxfId="357" priority="358">
      <formula>AND(ISNUMBER(P55),TRUNC(P55)&lt;TODAY())</formula>
    </cfRule>
  </conditionalFormatting>
  <conditionalFormatting sqref="Q55">
    <cfRule type="expression" dxfId="356" priority="357">
      <formula>AND(ISNUMBER(Q55),TRUNC(Q55)&lt;TODAY())</formula>
    </cfRule>
  </conditionalFormatting>
  <conditionalFormatting sqref="O55">
    <cfRule type="expression" dxfId="355" priority="356">
      <formula>AND(ISNUMBER(O55),TRUNC(O55)&lt;TODAY())</formula>
    </cfRule>
  </conditionalFormatting>
  <conditionalFormatting sqref="F55">
    <cfRule type="containsText" dxfId="354" priority="355" operator="containsText" text="F">
      <formula>NOT(ISERROR(SEARCH(("F"),(F55))))</formula>
    </cfRule>
  </conditionalFormatting>
  <conditionalFormatting sqref="O70:Q70">
    <cfRule type="expression" dxfId="353" priority="354">
      <formula>AND(ISNUMBER(O70),TRUNC(O70)&lt;TODAY())</formula>
    </cfRule>
  </conditionalFormatting>
  <conditionalFormatting sqref="F70">
    <cfRule type="containsText" dxfId="352" priority="353" operator="containsText" text="F">
      <formula>NOT(ISERROR(SEARCH(("F"),(F70))))</formula>
    </cfRule>
  </conditionalFormatting>
  <conditionalFormatting sqref="O69">
    <cfRule type="expression" dxfId="351" priority="352">
      <formula>AND(ISNUMBER(O69),TRUNC(O69)&lt;TODAY())</formula>
    </cfRule>
  </conditionalFormatting>
  <conditionalFormatting sqref="P69">
    <cfRule type="expression" dxfId="350" priority="351">
      <formula>AND(ISNUMBER(P69),TRUNC(P69)&lt;TODAY())</formula>
    </cfRule>
  </conditionalFormatting>
  <conditionalFormatting sqref="Q69">
    <cfRule type="expression" dxfId="349" priority="350">
      <formula>AND(ISNUMBER(Q69),TRUNC(Q69)&lt;TODAY())</formula>
    </cfRule>
  </conditionalFormatting>
  <conditionalFormatting sqref="F69">
    <cfRule type="containsText" dxfId="348" priority="349" operator="containsText" text="F">
      <formula>NOT(ISERROR(SEARCH(("F"),(F69))))</formula>
    </cfRule>
  </conditionalFormatting>
  <conditionalFormatting sqref="P68">
    <cfRule type="expression" dxfId="347" priority="348">
      <formula>AND(ISNUMBER(P68),TRUNC(P68)&lt;TODAY())</formula>
    </cfRule>
  </conditionalFormatting>
  <conditionalFormatting sqref="P68">
    <cfRule type="expression" dxfId="346" priority="347">
      <formula>AND(ISNUMBER(P68),TRUNC(P68)&lt;TODAY())</formula>
    </cfRule>
  </conditionalFormatting>
  <conditionalFormatting sqref="P68:Q68">
    <cfRule type="expression" dxfId="345" priority="346">
      <formula>AND(ISNUMBER(P68),TRUNC(P68)&lt;TODAY())</formula>
    </cfRule>
  </conditionalFormatting>
  <conditionalFormatting sqref="Q68">
    <cfRule type="expression" dxfId="344" priority="345">
      <formula>AND(ISNUMBER(Q68),TRUNC(Q68)&lt;TODAY())</formula>
    </cfRule>
  </conditionalFormatting>
  <conditionalFormatting sqref="V68">
    <cfRule type="notContainsBlanks" dxfId="343" priority="344">
      <formula>LEN(TRIM(V68))&gt;0</formula>
    </cfRule>
  </conditionalFormatting>
  <conditionalFormatting sqref="O68">
    <cfRule type="expression" dxfId="342" priority="343">
      <formula>AND(ISNUMBER(O68),TRUNC(O68)&lt;TODAY())</formula>
    </cfRule>
  </conditionalFormatting>
  <conditionalFormatting sqref="F68">
    <cfRule type="containsText" dxfId="341" priority="342" operator="containsText" text="F">
      <formula>NOT(ISERROR(SEARCH(("F"),(F68))))</formula>
    </cfRule>
  </conditionalFormatting>
  <conditionalFormatting sqref="Q67">
    <cfRule type="expression" dxfId="340" priority="341">
      <formula>AND(ISNUMBER(Q67),TRUNC(Q67)&lt;TODAY())</formula>
    </cfRule>
  </conditionalFormatting>
  <conditionalFormatting sqref="P67">
    <cfRule type="expression" dxfId="339" priority="340">
      <formula>AND(ISNUMBER(P67),TRUNC(P67)&lt;TODAY())</formula>
    </cfRule>
  </conditionalFormatting>
  <conditionalFormatting sqref="P67">
    <cfRule type="expression" dxfId="338" priority="339">
      <formula>AND(ISNUMBER(P67),TRUNC(P67)&lt;TODAY())</formula>
    </cfRule>
  </conditionalFormatting>
  <conditionalFormatting sqref="O67">
    <cfRule type="expression" dxfId="337" priority="338">
      <formula>AND(ISNUMBER(O67),TRUNC(O67)&lt;TODAY())</formula>
    </cfRule>
  </conditionalFormatting>
  <conditionalFormatting sqref="F67">
    <cfRule type="containsText" dxfId="336" priority="337" operator="containsText" text="F">
      <formula>NOT(ISERROR(SEARCH(("F"),(F67))))</formula>
    </cfRule>
  </conditionalFormatting>
  <conditionalFormatting sqref="V66">
    <cfRule type="notContainsBlanks" dxfId="335" priority="336">
      <formula>LEN(TRIM(V66))&gt;0</formula>
    </cfRule>
  </conditionalFormatting>
  <conditionalFormatting sqref="O66:Q66">
    <cfRule type="expression" dxfId="334" priority="335">
      <formula>AND(ISNUMBER(O66),TRUNC(O66)&lt;TODAY())</formula>
    </cfRule>
  </conditionalFormatting>
  <conditionalFormatting sqref="F66">
    <cfRule type="containsText" dxfId="333" priority="334" operator="containsText" text="F">
      <formula>NOT(ISERROR(SEARCH(("F"),(F66))))</formula>
    </cfRule>
  </conditionalFormatting>
  <conditionalFormatting sqref="F65">
    <cfRule type="containsText" dxfId="332" priority="333" operator="containsText" text="F">
      <formula>NOT(ISERROR(SEARCH(("F"),(F65))))</formula>
    </cfRule>
  </conditionalFormatting>
  <conditionalFormatting sqref="O65:Q65">
    <cfRule type="expression" dxfId="331" priority="332">
      <formula>AND(ISNUMBER(O65),TRUNC(O65)&lt;TODAY())</formula>
    </cfRule>
  </conditionalFormatting>
  <conditionalFormatting sqref="Q20">
    <cfRule type="expression" dxfId="330" priority="331">
      <formula>AND(ISNUMBER(Q20),TRUNC(Q20)&lt;TODAY())</formula>
    </cfRule>
  </conditionalFormatting>
  <conditionalFormatting sqref="O20">
    <cfRule type="expression" dxfId="329" priority="330">
      <formula>AND(ISNUMBER(O20),TRUNC(O20)&lt;TODAY())</formula>
    </cfRule>
  </conditionalFormatting>
  <conditionalFormatting sqref="F20">
    <cfRule type="containsText" dxfId="328" priority="329" operator="containsText" text="F">
      <formula>NOT(ISERROR(SEARCH(("F"),(F20))))</formula>
    </cfRule>
  </conditionalFormatting>
  <conditionalFormatting sqref="P20">
    <cfRule type="expression" dxfId="327" priority="328">
      <formula>AND(ISNUMBER(P20),TRUNC(P20)&lt;TODAY())</formula>
    </cfRule>
  </conditionalFormatting>
  <conditionalFormatting sqref="O19:Q19">
    <cfRule type="expression" dxfId="326" priority="327">
      <formula>AND(ISNUMBER(O19),TRUNC(O19)&lt;TODAY())</formula>
    </cfRule>
  </conditionalFormatting>
  <conditionalFormatting sqref="F52">
    <cfRule type="containsText" dxfId="325" priority="326" operator="containsText" text="F">
      <formula>NOT(ISERROR(SEARCH(("F"),(F52))))</formula>
    </cfRule>
  </conditionalFormatting>
  <conditionalFormatting sqref="Q52">
    <cfRule type="expression" dxfId="324" priority="325">
      <formula>AND(ISNUMBER(Q52),TRUNC(Q52)&lt;TODAY())</formula>
    </cfRule>
  </conditionalFormatting>
  <conditionalFormatting sqref="Q52">
    <cfRule type="expression" dxfId="323" priority="324">
      <formula>AND(ISNUMBER(Q52),TRUNC(Q52)&lt;TODAY())</formula>
    </cfRule>
  </conditionalFormatting>
  <conditionalFormatting sqref="O52">
    <cfRule type="expression" dxfId="322" priority="323">
      <formula>AND(ISNUMBER(O52),TRUNC(O52)&lt;TODAY())</formula>
    </cfRule>
  </conditionalFormatting>
  <conditionalFormatting sqref="P52">
    <cfRule type="expression" dxfId="321" priority="322">
      <formula>AND(ISNUMBER(P52),TRUNC(P52)&lt;TODAY())</formula>
    </cfRule>
  </conditionalFormatting>
  <conditionalFormatting sqref="P98">
    <cfRule type="expression" dxfId="320" priority="321">
      <formula>AND(ISNUMBER(P98),TRUNC(P98)&lt;TODAY())</formula>
    </cfRule>
  </conditionalFormatting>
  <conditionalFormatting sqref="Q98">
    <cfRule type="expression" dxfId="319" priority="320">
      <formula>AND(ISNUMBER(Q98),TRUNC(Q98)&lt;TODAY())</formula>
    </cfRule>
  </conditionalFormatting>
  <conditionalFormatting sqref="F98">
    <cfRule type="containsText" dxfId="318" priority="319" operator="containsText" text="F">
      <formula>NOT(ISERROR(SEARCH(("F"),(F98))))</formula>
    </cfRule>
  </conditionalFormatting>
  <conditionalFormatting sqref="O98">
    <cfRule type="expression" dxfId="317" priority="318">
      <formula>AND(ISNUMBER(O98),TRUNC(O98)&lt;TODAY())</formula>
    </cfRule>
  </conditionalFormatting>
  <conditionalFormatting sqref="F97">
    <cfRule type="containsText" dxfId="316" priority="317" operator="containsText" text="F">
      <formula>NOT(ISERROR(SEARCH(("F"),(F97))))</formula>
    </cfRule>
  </conditionalFormatting>
  <conditionalFormatting sqref="O97">
    <cfRule type="expression" dxfId="315" priority="316">
      <formula>AND(ISNUMBER(O97),TRUNC(O97)&lt;TODAY())</formula>
    </cfRule>
  </conditionalFormatting>
  <conditionalFormatting sqref="P97">
    <cfRule type="expression" dxfId="314" priority="315">
      <formula>AND(ISNUMBER(P97),TRUNC(P97)&lt;TODAY())</formula>
    </cfRule>
  </conditionalFormatting>
  <conditionalFormatting sqref="O51">
    <cfRule type="expression" dxfId="313" priority="314">
      <formula>AND(ISNUMBER(O51),TRUNC(O51)&lt;TODAY())</formula>
    </cfRule>
  </conditionalFormatting>
  <conditionalFormatting sqref="F51">
    <cfRule type="containsText" dxfId="312" priority="313" operator="containsText" text="F">
      <formula>NOT(ISERROR(SEARCH(("F"),(F51))))</formula>
    </cfRule>
  </conditionalFormatting>
  <conditionalFormatting sqref="P51">
    <cfRule type="expression" dxfId="311" priority="312">
      <formula>AND(ISNUMBER(P51),TRUNC(P51)&lt;TODAY())</formula>
    </cfRule>
  </conditionalFormatting>
  <conditionalFormatting sqref="Q51">
    <cfRule type="expression" dxfId="310" priority="311">
      <formula>AND(ISNUMBER(Q51),TRUNC(Q51)&lt;TODAY())</formula>
    </cfRule>
  </conditionalFormatting>
  <conditionalFormatting sqref="O50:Q50">
    <cfRule type="expression" dxfId="309" priority="310">
      <formula>AND(ISNUMBER(O50),TRUNC(O50)&lt;TODAY())</formula>
    </cfRule>
  </conditionalFormatting>
  <conditionalFormatting sqref="F50">
    <cfRule type="containsText" dxfId="308" priority="309" operator="containsText" text="F">
      <formula>NOT(ISERROR(SEARCH(("F"),(F50))))</formula>
    </cfRule>
  </conditionalFormatting>
  <conditionalFormatting sqref="F49">
    <cfRule type="containsText" dxfId="307" priority="308" operator="containsText" text="F">
      <formula>NOT(ISERROR(SEARCH(("F"),(F49))))</formula>
    </cfRule>
  </conditionalFormatting>
  <conditionalFormatting sqref="O49">
    <cfRule type="expression" dxfId="306" priority="307">
      <formula>AND(ISNUMBER(O49),TRUNC(O49)&lt;TODAY())</formula>
    </cfRule>
  </conditionalFormatting>
  <conditionalFormatting sqref="P49">
    <cfRule type="expression" dxfId="305" priority="306">
      <formula>AND(ISNUMBER(P49),TRUNC(P49)&lt;TODAY())</formula>
    </cfRule>
  </conditionalFormatting>
  <conditionalFormatting sqref="Q49">
    <cfRule type="expression" dxfId="304" priority="305">
      <formula>AND(ISNUMBER(Q49),TRUNC(Q49)&lt;TODAY())</formula>
    </cfRule>
  </conditionalFormatting>
  <conditionalFormatting sqref="F16">
    <cfRule type="containsText" dxfId="303" priority="304" operator="containsText" text="F">
      <formula>NOT(ISERROR(SEARCH(("F"),(F16))))</formula>
    </cfRule>
  </conditionalFormatting>
  <conditionalFormatting sqref="O16:Q16">
    <cfRule type="expression" dxfId="302" priority="303">
      <formula>AND(ISNUMBER(O16),TRUNC(O16)&lt;TODAY())</formula>
    </cfRule>
  </conditionalFormatting>
  <conditionalFormatting sqref="P96:Q96">
    <cfRule type="expression" dxfId="301" priority="302">
      <formula>AND(ISNUMBER(P96),TRUNC(P96)&lt;TODAY())</formula>
    </cfRule>
  </conditionalFormatting>
  <conditionalFormatting sqref="P96">
    <cfRule type="expression" dxfId="300" priority="301">
      <formula>AND(ISNUMBER(P96),TRUNC(P96)&lt;TODAY())</formula>
    </cfRule>
  </conditionalFormatting>
  <conditionalFormatting sqref="Q96">
    <cfRule type="expression" dxfId="299" priority="300">
      <formula>AND(ISNUMBER(Q96),TRUNC(Q96)&lt;TODAY())</formula>
    </cfRule>
  </conditionalFormatting>
  <conditionalFormatting sqref="O96">
    <cfRule type="expression" dxfId="298" priority="299">
      <formula>AND(ISNUMBER(O96),TRUNC(O96)&lt;TODAY())</formula>
    </cfRule>
  </conditionalFormatting>
  <conditionalFormatting sqref="F96">
    <cfRule type="containsText" dxfId="297" priority="298" operator="containsText" text="F">
      <formula>NOT(ISERROR(SEARCH(("F"),(F96))))</formula>
    </cfRule>
  </conditionalFormatting>
  <conditionalFormatting sqref="F95">
    <cfRule type="containsText" dxfId="296" priority="297" operator="containsText" text="F">
      <formula>NOT(ISERROR(SEARCH(("F"),(F95))))</formula>
    </cfRule>
  </conditionalFormatting>
  <conditionalFormatting sqref="O95">
    <cfRule type="expression" dxfId="295" priority="296">
      <formula>AND(ISNUMBER(O95),TRUNC(O95)&lt;TODAY())</formula>
    </cfRule>
  </conditionalFormatting>
  <conditionalFormatting sqref="Q95">
    <cfRule type="expression" dxfId="294" priority="295">
      <formula>AND(ISNUMBER(Q95),TRUNC(Q95)&lt;TODAY())</formula>
    </cfRule>
  </conditionalFormatting>
  <conditionalFormatting sqref="P95">
    <cfRule type="expression" dxfId="293" priority="294">
      <formula>AND(ISNUMBER(P95),TRUNC(P95)&lt;TODAY())</formula>
    </cfRule>
  </conditionalFormatting>
  <conditionalFormatting sqref="F94">
    <cfRule type="containsText" dxfId="292" priority="293" operator="containsText" text="F">
      <formula>NOT(ISERROR(SEARCH(("F"),(F94))))</formula>
    </cfRule>
  </conditionalFormatting>
  <conditionalFormatting sqref="V94">
    <cfRule type="notContainsBlanks" dxfId="291" priority="292">
      <formula>LEN(TRIM(V94))&gt;0</formula>
    </cfRule>
  </conditionalFormatting>
  <conditionalFormatting sqref="P94">
    <cfRule type="expression" dxfId="290" priority="291">
      <formula>P94&lt;44043</formula>
    </cfRule>
  </conditionalFormatting>
  <conditionalFormatting sqref="P94">
    <cfRule type="expression" dxfId="289" priority="290">
      <formula>AND(ISNUMBER(P94),TRUNC(P94)&lt;TODAY())</formula>
    </cfRule>
  </conditionalFormatting>
  <conditionalFormatting sqref="O94">
    <cfRule type="expression" dxfId="288" priority="289">
      <formula>AND(ISNUMBER(O94),TRUNC(O94)&lt;TODAY())</formula>
    </cfRule>
  </conditionalFormatting>
  <conditionalFormatting sqref="Q94">
    <cfRule type="expression" dxfId="287" priority="288">
      <formula>AND(ISNUMBER(Q94),TRUNC(Q94)&lt;TODAY())</formula>
    </cfRule>
  </conditionalFormatting>
  <conditionalFormatting sqref="P94:Q94">
    <cfRule type="expression" dxfId="286" priority="287">
      <formula>AND(ISNUMBER(P94),TRUNC(P94)&lt;TODAY())</formula>
    </cfRule>
  </conditionalFormatting>
  <conditionalFormatting sqref="O93:Q93">
    <cfRule type="expression" dxfId="285" priority="286">
      <formula>AND(ISNUMBER(O93),TRUNC(O93)&lt;TODAY())</formula>
    </cfRule>
  </conditionalFormatting>
  <conditionalFormatting sqref="F93">
    <cfRule type="containsText" dxfId="284" priority="285" operator="containsText" text="F">
      <formula>NOT(ISERROR(SEARCH(("F"),(F93))))</formula>
    </cfRule>
  </conditionalFormatting>
  <conditionalFormatting sqref="P81">
    <cfRule type="expression" dxfId="283" priority="284">
      <formula>P81&lt;44043</formula>
    </cfRule>
  </conditionalFormatting>
  <conditionalFormatting sqref="P81">
    <cfRule type="expression" dxfId="282" priority="283">
      <formula>AND(ISNUMBER(P81),TRUNC(P81)&lt;TODAY())</formula>
    </cfRule>
  </conditionalFormatting>
  <conditionalFormatting sqref="Q81">
    <cfRule type="expression" dxfId="281" priority="282">
      <formula>AND(ISNUMBER(Q81),TRUNC(Q81)&lt;TODAY())</formula>
    </cfRule>
  </conditionalFormatting>
  <conditionalFormatting sqref="O81">
    <cfRule type="expression" dxfId="280" priority="281">
      <formula>AND(ISNUMBER(O81),TRUNC(O81)&lt;TODAY())</formula>
    </cfRule>
  </conditionalFormatting>
  <conditionalFormatting sqref="F81">
    <cfRule type="containsText" dxfId="279" priority="280" operator="containsText" text="F">
      <formula>NOT(ISERROR(SEARCH(("F"),(F81))))</formula>
    </cfRule>
  </conditionalFormatting>
  <conditionalFormatting sqref="O80:Q80">
    <cfRule type="expression" dxfId="278" priority="279">
      <formula>AND(ISNUMBER(O80),TRUNC(O80)&lt;TODAY())</formula>
    </cfRule>
  </conditionalFormatting>
  <conditionalFormatting sqref="F80">
    <cfRule type="containsText" dxfId="277" priority="278" operator="containsText" text="F">
      <formula>NOT(ISERROR(SEARCH(("F"),(F80))))</formula>
    </cfRule>
  </conditionalFormatting>
  <conditionalFormatting sqref="O74:Q74">
    <cfRule type="expression" dxfId="276" priority="277">
      <formula>AND(ISNUMBER(O74),TRUNC(O74)&lt;TODAY())</formula>
    </cfRule>
  </conditionalFormatting>
  <conditionalFormatting sqref="F74">
    <cfRule type="containsText" dxfId="275" priority="276" operator="containsText" text="F">
      <formula>NOT(ISERROR(SEARCH(("F"),(F74))))</formula>
    </cfRule>
  </conditionalFormatting>
  <conditionalFormatting sqref="F54">
    <cfRule type="containsText" dxfId="274" priority="275" operator="containsText" text="F">
      <formula>NOT(ISERROR(SEARCH(("F"),(F54))))</formula>
    </cfRule>
  </conditionalFormatting>
  <conditionalFormatting sqref="O54:Q54">
    <cfRule type="expression" dxfId="273" priority="274">
      <formula>AND(ISNUMBER(O54),TRUNC(O54)&lt;TODAY())</formula>
    </cfRule>
  </conditionalFormatting>
  <conditionalFormatting sqref="F53">
    <cfRule type="containsText" dxfId="272" priority="273" operator="containsText" text="F">
      <formula>NOT(ISERROR(SEARCH(("F"),(F53))))</formula>
    </cfRule>
  </conditionalFormatting>
  <conditionalFormatting sqref="O53:Q53">
    <cfRule type="expression" dxfId="271" priority="272">
      <formula>AND(ISNUMBER(O53),TRUNC(O53)&lt;TODAY())</formula>
    </cfRule>
  </conditionalFormatting>
  <conditionalFormatting sqref="P15">
    <cfRule type="expression" dxfId="270" priority="271">
      <formula>AND(ISNUMBER(P15),TRUNC(P15)&lt;TODAY())</formula>
    </cfRule>
  </conditionalFormatting>
  <conditionalFormatting sqref="O15:Q15">
    <cfRule type="expression" dxfId="269" priority="270">
      <formula>AND(ISNUMBER(O15),TRUNC(O15)&lt;TODAY())</formula>
    </cfRule>
  </conditionalFormatting>
  <conditionalFormatting sqref="O14">
    <cfRule type="expression" dxfId="268" priority="269">
      <formula>AND(ISNUMBER(O14),TRUNC(O14)&lt;TODAY())</formula>
    </cfRule>
  </conditionalFormatting>
  <conditionalFormatting sqref="P14">
    <cfRule type="expression" dxfId="267" priority="268">
      <formula>AND(ISNUMBER(P14),TRUNC(P14)&lt;TODAY())</formula>
    </cfRule>
  </conditionalFormatting>
  <conditionalFormatting sqref="Q14">
    <cfRule type="expression" dxfId="266" priority="267">
      <formula>AND(ISNUMBER(Q14),TRUNC(Q14)&lt;TODAY())</formula>
    </cfRule>
  </conditionalFormatting>
  <conditionalFormatting sqref="F14">
    <cfRule type="containsText" dxfId="265" priority="266" operator="containsText" text="F">
      <formula>NOT(ISERROR(SEARCH(("F"),(F14))))</formula>
    </cfRule>
  </conditionalFormatting>
  <conditionalFormatting sqref="O13:Q13">
    <cfRule type="expression" dxfId="264" priority="265">
      <formula>AND(ISNUMBER(O13),TRUNC(O13)&lt;TODAY())</formula>
    </cfRule>
  </conditionalFormatting>
  <conditionalFormatting sqref="O12:Q12">
    <cfRule type="expression" dxfId="263" priority="264">
      <formula>AND(ISNUMBER(O12),TRUNC(O12)&lt;TODAY())</formula>
    </cfRule>
  </conditionalFormatting>
  <conditionalFormatting sqref="F12">
    <cfRule type="containsText" dxfId="262" priority="263" operator="containsText" text="F">
      <formula>NOT(ISERROR(SEARCH(("F"),(F12))))</formula>
    </cfRule>
  </conditionalFormatting>
  <conditionalFormatting sqref="O79:Q79">
    <cfRule type="expression" dxfId="261" priority="262">
      <formula>AND(ISNUMBER(O79),TRUNC(O79)&lt;TODAY())</formula>
    </cfRule>
  </conditionalFormatting>
  <conditionalFormatting sqref="F79">
    <cfRule type="containsText" dxfId="260" priority="261" operator="containsText" text="F">
      <formula>NOT(ISERROR(SEARCH(("F"),(F79))))</formula>
    </cfRule>
  </conditionalFormatting>
  <conditionalFormatting sqref="F78">
    <cfRule type="containsText" dxfId="259" priority="260" operator="containsText" text="F">
      <formula>NOT(ISERROR(SEARCH(("F"),(F78))))</formula>
    </cfRule>
  </conditionalFormatting>
  <conditionalFormatting sqref="O78:Q78">
    <cfRule type="expression" dxfId="258" priority="259">
      <formula>AND(ISNUMBER(O78),TRUNC(O78)&lt;TODAY())</formula>
    </cfRule>
  </conditionalFormatting>
  <conditionalFormatting sqref="F77">
    <cfRule type="containsText" dxfId="257" priority="258" operator="containsText" text="F">
      <formula>NOT(ISERROR(SEARCH(("F"),(F77))))</formula>
    </cfRule>
  </conditionalFormatting>
  <conditionalFormatting sqref="O77:Q77">
    <cfRule type="expression" dxfId="256" priority="257">
      <formula>AND(ISNUMBER(O77),TRUNC(O77)&lt;TODAY())</formula>
    </cfRule>
  </conditionalFormatting>
  <conditionalFormatting sqref="F76">
    <cfRule type="containsText" dxfId="255" priority="256" operator="containsText" text="F">
      <formula>NOT(ISERROR(SEARCH(("F"),(F76))))</formula>
    </cfRule>
  </conditionalFormatting>
  <conditionalFormatting sqref="O76:Q76">
    <cfRule type="expression" dxfId="254" priority="255">
      <formula>AND(ISNUMBER(O76),TRUNC(O76)&lt;TODAY())</formula>
    </cfRule>
  </conditionalFormatting>
  <conditionalFormatting sqref="F75">
    <cfRule type="containsText" dxfId="253" priority="254" operator="containsText" text="F">
      <formula>NOT(ISERROR(SEARCH(("F"),(F75))))</formula>
    </cfRule>
  </conditionalFormatting>
  <conditionalFormatting sqref="O75:Q75">
    <cfRule type="expression" dxfId="252" priority="253">
      <formula>AND(ISNUMBER(O75),TRUNC(O75)&lt;TODAY())</formula>
    </cfRule>
  </conditionalFormatting>
  <conditionalFormatting sqref="F48">
    <cfRule type="containsText" dxfId="251" priority="252" operator="containsText" text="F">
      <formula>NOT(ISERROR(SEARCH(("F"),(F48))))</formula>
    </cfRule>
  </conditionalFormatting>
  <conditionalFormatting sqref="P48">
    <cfRule type="expression" dxfId="250" priority="251">
      <formula>AND(ISNUMBER(P48),TRUNC(P48)&lt;TODAY())</formula>
    </cfRule>
  </conditionalFormatting>
  <conditionalFormatting sqref="O48:Q48">
    <cfRule type="expression" dxfId="249" priority="250">
      <formula>AND(ISNUMBER(O48),TRUNC(O48)&lt;TODAY())</formula>
    </cfRule>
  </conditionalFormatting>
  <conditionalFormatting sqref="F18">
    <cfRule type="containsText" dxfId="248" priority="249" operator="containsText" text="F">
      <formula>NOT(ISERROR(SEARCH(("F"),(F18))))</formula>
    </cfRule>
  </conditionalFormatting>
  <conditionalFormatting sqref="O18:Q18">
    <cfRule type="expression" dxfId="247" priority="248">
      <formula>AND(ISNUMBER(O18),TRUNC(O18)&lt;TODAY())</formula>
    </cfRule>
  </conditionalFormatting>
  <conditionalFormatting sqref="O17:Q17">
    <cfRule type="expression" dxfId="246" priority="247">
      <formula>AND(ISNUMBER(O17),TRUNC(O17)&lt;TODAY())</formula>
    </cfRule>
  </conditionalFormatting>
  <conditionalFormatting sqref="F17">
    <cfRule type="containsText" dxfId="245" priority="246" operator="containsText" text="F">
      <formula>NOT(ISERROR(SEARCH(("F"),(F17))))</formula>
    </cfRule>
  </conditionalFormatting>
  <conditionalFormatting sqref="F11">
    <cfRule type="containsText" dxfId="244" priority="245" operator="containsText" text="F">
      <formula>NOT(ISERROR(SEARCH(("F"),(F11))))</formula>
    </cfRule>
  </conditionalFormatting>
  <conditionalFormatting sqref="Q11">
    <cfRule type="expression" dxfId="243" priority="244">
      <formula>AND(ISNUMBER(Q11),TRUNC(Q11)&lt;TODAY())</formula>
    </cfRule>
  </conditionalFormatting>
  <conditionalFormatting sqref="P11">
    <cfRule type="expression" dxfId="242" priority="243">
      <formula>AND(ISNUMBER(P11),TRUNC(P11)&lt;TODAY())</formula>
    </cfRule>
  </conditionalFormatting>
  <conditionalFormatting sqref="O11">
    <cfRule type="expression" dxfId="241" priority="242">
      <formula>AND(ISNUMBER(O11),TRUNC(O11)&lt;TODAY())</formula>
    </cfRule>
  </conditionalFormatting>
  <conditionalFormatting sqref="O10">
    <cfRule type="expression" dxfId="240" priority="241">
      <formula>AND(ISNUMBER(O10),TRUNC(O10)&lt;TODAY())</formula>
    </cfRule>
  </conditionalFormatting>
  <conditionalFormatting sqref="P10">
    <cfRule type="expression" dxfId="239" priority="240">
      <formula>AND(ISNUMBER(P10),TRUNC(P10)&lt;TODAY())</formula>
    </cfRule>
  </conditionalFormatting>
  <conditionalFormatting sqref="Q10">
    <cfRule type="expression" dxfId="238" priority="239">
      <formula>AND(ISNUMBER(Q10),TRUNC(Q10)&lt;TODAY())</formula>
    </cfRule>
  </conditionalFormatting>
  <conditionalFormatting sqref="F10">
    <cfRule type="containsText" dxfId="237" priority="238" operator="containsText" text="F">
      <formula>NOT(ISERROR(SEARCH(("F"),(F10))))</formula>
    </cfRule>
  </conditionalFormatting>
  <conditionalFormatting sqref="O9:Q9">
    <cfRule type="expression" dxfId="236" priority="237">
      <formula>AND(ISNUMBER(O9),TRUNC(O9)&lt;TODAY())</formula>
    </cfRule>
  </conditionalFormatting>
  <conditionalFormatting sqref="F9">
    <cfRule type="containsText" dxfId="235" priority="236" operator="containsText" text="F">
      <formula>NOT(ISERROR(SEARCH(("F"),(F9))))</formula>
    </cfRule>
  </conditionalFormatting>
  <conditionalFormatting sqref="F8">
    <cfRule type="containsText" dxfId="234" priority="235" operator="containsText" text="F">
      <formula>NOT(ISERROR(SEARCH(("F"),(F8))))</formula>
    </cfRule>
  </conditionalFormatting>
  <conditionalFormatting sqref="Q8">
    <cfRule type="expression" dxfId="233" priority="234">
      <formula>AND(ISNUMBER(Q8),TRUNC(Q8)&lt;TODAY())</formula>
    </cfRule>
  </conditionalFormatting>
  <conditionalFormatting sqref="P8">
    <cfRule type="expression" dxfId="232" priority="233">
      <formula>AND(ISNUMBER(P8),TRUNC(P8)&lt;TODAY())</formula>
    </cfRule>
  </conditionalFormatting>
  <conditionalFormatting sqref="O8">
    <cfRule type="expression" dxfId="231" priority="232">
      <formula>AND(ISNUMBER(O8),TRUNC(O8)&lt;TODAY())</formula>
    </cfRule>
  </conditionalFormatting>
  <conditionalFormatting sqref="O7:Q7">
    <cfRule type="expression" dxfId="230" priority="231">
      <formula>AND(ISNUMBER(O7),TRUNC(O7)&lt;TODAY())</formula>
    </cfRule>
  </conditionalFormatting>
  <conditionalFormatting sqref="F7">
    <cfRule type="containsText" dxfId="229" priority="230" operator="containsText" text="F">
      <formula>NOT(ISERROR(SEARCH(("F"),(F7))))</formula>
    </cfRule>
  </conditionalFormatting>
  <conditionalFormatting sqref="O6:Q6">
    <cfRule type="expression" dxfId="228" priority="229">
      <formula>AND(ISNUMBER(O6),TRUNC(O6)&lt;TODAY())</formula>
    </cfRule>
  </conditionalFormatting>
  <conditionalFormatting sqref="F6">
    <cfRule type="containsText" dxfId="227" priority="228" operator="containsText" text="F">
      <formula>NOT(ISERROR(SEARCH(("F"),(F6))))</formula>
    </cfRule>
  </conditionalFormatting>
  <conditionalFormatting sqref="F5">
    <cfRule type="containsText" dxfId="226" priority="227" operator="containsText" text="F">
      <formula>NOT(ISERROR(SEARCH(("F"),(F5))))</formula>
    </cfRule>
  </conditionalFormatting>
  <conditionalFormatting sqref="O5:Q5">
    <cfRule type="expression" dxfId="225" priority="226">
      <formula>AND(ISNUMBER(O5),TRUNC(O5)&lt;TODAY())</formula>
    </cfRule>
  </conditionalFormatting>
  <conditionalFormatting sqref="F4">
    <cfRule type="containsText" dxfId="224" priority="225" operator="containsText" text="F">
      <formula>NOT(ISERROR(SEARCH(("F"),(F4))))</formula>
    </cfRule>
  </conditionalFormatting>
  <conditionalFormatting sqref="O4:Q4">
    <cfRule type="expression" dxfId="223" priority="224">
      <formula>AND(ISNUMBER(O4),TRUNC(O4)&lt;TODAY())</formula>
    </cfRule>
  </conditionalFormatting>
  <conditionalFormatting sqref="F3">
    <cfRule type="containsText" dxfId="222" priority="223" operator="containsText" text="F">
      <formula>NOT(ISERROR(SEARCH(("F"),(F3))))</formula>
    </cfRule>
  </conditionalFormatting>
  <conditionalFormatting sqref="O3:Q3">
    <cfRule type="expression" dxfId="221" priority="222">
      <formula>AND(ISNUMBER(O3),TRUNC(O3)&lt;TODAY())</formula>
    </cfRule>
  </conditionalFormatting>
  <conditionalFormatting sqref="O2:Q2">
    <cfRule type="expression" dxfId="220" priority="221">
      <formula>AND(ISNUMBER(O2),TRUNC(O2)&lt;TODAY())</formula>
    </cfRule>
  </conditionalFormatting>
  <conditionalFormatting sqref="F2">
    <cfRule type="containsText" dxfId="219" priority="220" operator="containsText" text="F">
      <formula>NOT(ISERROR(SEARCH(("F"),(F2))))</formula>
    </cfRule>
  </conditionalFormatting>
  <conditionalFormatting sqref="F162">
    <cfRule type="containsText" dxfId="218" priority="219" operator="containsText" text="F">
      <formula>NOT(ISERROR(SEARCH(("F"),(F162))))</formula>
    </cfRule>
  </conditionalFormatting>
  <conditionalFormatting sqref="P162">
    <cfRule type="expression" dxfId="217" priority="218">
      <formula>AND(ISNUMBER(P162),TRUNC(P162)&lt;TODAY())</formula>
    </cfRule>
  </conditionalFormatting>
  <conditionalFormatting sqref="O162">
    <cfRule type="expression" dxfId="216" priority="217">
      <formula>AND(ISNUMBER(O162),TRUNC(O162)&lt;TODAY())</formula>
    </cfRule>
  </conditionalFormatting>
  <conditionalFormatting sqref="Q162">
    <cfRule type="expression" dxfId="215" priority="216">
      <formula>AND(ISNUMBER(Q162),TRUNC(Q162)&lt;TODAY())</formula>
    </cfRule>
  </conditionalFormatting>
  <conditionalFormatting sqref="V162">
    <cfRule type="notContainsBlanks" dxfId="214" priority="215">
      <formula>LEN(TRIM(V162))&gt;0</formula>
    </cfRule>
  </conditionalFormatting>
  <conditionalFormatting sqref="P161">
    <cfRule type="expression" dxfId="213" priority="214">
      <formula>AND(ISNUMBER(P161),TRUNC(P161)&lt;TODAY())</formula>
    </cfRule>
  </conditionalFormatting>
  <conditionalFormatting sqref="V161">
    <cfRule type="notContainsBlanks" dxfId="212" priority="213">
      <formula>LEN(TRIM(V161))&gt;0</formula>
    </cfRule>
  </conditionalFormatting>
  <conditionalFormatting sqref="O161 Q234">
    <cfRule type="expression" dxfId="211" priority="212">
      <formula>AND(ISNUMBER(O161),TRUNC(O161)&lt;TODAY())</formula>
    </cfRule>
  </conditionalFormatting>
  <conditionalFormatting sqref="F161">
    <cfRule type="containsText" dxfId="210" priority="211" operator="containsText" text="F">
      <formula>NOT(ISERROR(SEARCH(("F"),(F161))))</formula>
    </cfRule>
  </conditionalFormatting>
  <conditionalFormatting sqref="O160">
    <cfRule type="expression" dxfId="209" priority="210">
      <formula>AND(ISNUMBER(O160),TRUNC(O160)&lt;TODAY())</formula>
    </cfRule>
  </conditionalFormatting>
  <conditionalFormatting sqref="P160">
    <cfRule type="expression" dxfId="208" priority="209">
      <formula>AND(ISNUMBER(P160),TRUNC(P160)&lt;TODAY())</formula>
    </cfRule>
  </conditionalFormatting>
  <conditionalFormatting sqref="V160">
    <cfRule type="notContainsBlanks" dxfId="207" priority="208">
      <formula>LEN(TRIM(V160))&gt;0</formula>
    </cfRule>
  </conditionalFormatting>
  <conditionalFormatting sqref="Q160">
    <cfRule type="expression" dxfId="206" priority="207">
      <formula>AND(ISNUMBER(Q160),TRUNC(Q160)&lt;TODAY())</formula>
    </cfRule>
  </conditionalFormatting>
  <conditionalFormatting sqref="F160">
    <cfRule type="containsText" dxfId="205" priority="206" operator="containsText" text="F">
      <formula>NOT(ISERROR(SEARCH(("F"),(F160))))</formula>
    </cfRule>
  </conditionalFormatting>
  <conditionalFormatting sqref="P159">
    <cfRule type="expression" dxfId="204" priority="205">
      <formula>AND(ISNUMBER(P159),TRUNC(P159)&lt;TODAY())</formula>
    </cfRule>
  </conditionalFormatting>
  <conditionalFormatting sqref="V159">
    <cfRule type="notContainsBlanks" dxfId="203" priority="204">
      <formula>LEN(TRIM(V159))&gt;0</formula>
    </cfRule>
  </conditionalFormatting>
  <conditionalFormatting sqref="Q159">
    <cfRule type="expression" dxfId="202" priority="203">
      <formula>AND(ISNUMBER(Q159),TRUNC(Q159)&lt;TODAY())</formula>
    </cfRule>
  </conditionalFormatting>
  <conditionalFormatting sqref="O159">
    <cfRule type="expression" dxfId="201" priority="202">
      <formula>AND(ISNUMBER(O159),TRUNC(O159)&lt;TODAY())</formula>
    </cfRule>
  </conditionalFormatting>
  <conditionalFormatting sqref="F159">
    <cfRule type="containsText" dxfId="200" priority="201" operator="containsText" text="F">
      <formula>NOT(ISERROR(SEARCH(("F"),(F159))))</formula>
    </cfRule>
  </conditionalFormatting>
  <conditionalFormatting sqref="Q159">
    <cfRule type="expression" dxfId="199" priority="200">
      <formula>AND(ISNUMBER(Q159),TRUNC(Q159)&lt;TODAY())</formula>
    </cfRule>
  </conditionalFormatting>
  <conditionalFormatting sqref="F222">
    <cfRule type="containsText" dxfId="198" priority="199" operator="containsText" text="F">
      <formula>NOT(ISERROR(SEARCH(("F"),(F222))))</formula>
    </cfRule>
  </conditionalFormatting>
  <conditionalFormatting sqref="O222:Q222">
    <cfRule type="expression" dxfId="197" priority="198">
      <formula>AND(ISNUMBER(O222),TRUNC(O222)&lt;TODAY())</formula>
    </cfRule>
  </conditionalFormatting>
  <conditionalFormatting sqref="O221:Q221">
    <cfRule type="expression" dxfId="196" priority="197">
      <formula>AND(ISNUMBER(O221),TRUNC(O221)&lt;TODAY())</formula>
    </cfRule>
  </conditionalFormatting>
  <conditionalFormatting sqref="F221">
    <cfRule type="containsText" dxfId="195" priority="196" operator="containsText" text="F">
      <formula>NOT(ISERROR(SEARCH(("F"),(F221))))</formula>
    </cfRule>
  </conditionalFormatting>
  <conditionalFormatting sqref="O220:Q220">
    <cfRule type="expression" dxfId="194" priority="195">
      <formula>AND(ISNUMBER(O220),TRUNC(O220)&lt;TODAY())</formula>
    </cfRule>
  </conditionalFormatting>
  <conditionalFormatting sqref="F220">
    <cfRule type="containsText" dxfId="193" priority="194" operator="containsText" text="F">
      <formula>NOT(ISERROR(SEARCH(("F"),(F220))))</formula>
    </cfRule>
  </conditionalFormatting>
  <conditionalFormatting sqref="O219:Q219">
    <cfRule type="expression" dxfId="192" priority="193">
      <formula>AND(ISNUMBER(O219),TRUNC(O219)&lt;TODAY())</formula>
    </cfRule>
  </conditionalFormatting>
  <conditionalFormatting sqref="F219">
    <cfRule type="containsText" dxfId="191" priority="192" operator="containsText" text="F">
      <formula>NOT(ISERROR(SEARCH(("F"),(F219))))</formula>
    </cfRule>
  </conditionalFormatting>
  <conditionalFormatting sqref="O218:Q218">
    <cfRule type="expression" dxfId="190" priority="191">
      <formula>AND(ISNUMBER(O218),TRUNC(O218)&lt;TODAY())</formula>
    </cfRule>
  </conditionalFormatting>
  <conditionalFormatting sqref="F218">
    <cfRule type="containsText" dxfId="189" priority="190" operator="containsText" text="F">
      <formula>NOT(ISERROR(SEARCH(("F"),(F218))))</formula>
    </cfRule>
  </conditionalFormatting>
  <conditionalFormatting sqref="O217:Q217">
    <cfRule type="expression" dxfId="188" priority="189">
      <formula>AND(ISNUMBER(O217),TRUNC(O217)&lt;TODAY())</formula>
    </cfRule>
  </conditionalFormatting>
  <conditionalFormatting sqref="F217">
    <cfRule type="containsText" dxfId="187" priority="188" operator="containsText" text="F">
      <formula>NOT(ISERROR(SEARCH(("F"),(F217))))</formula>
    </cfRule>
  </conditionalFormatting>
  <conditionalFormatting sqref="O216:Q216">
    <cfRule type="expression" dxfId="186" priority="187">
      <formula>AND(ISNUMBER(O216),TRUNC(O216)&lt;TODAY())</formula>
    </cfRule>
  </conditionalFormatting>
  <conditionalFormatting sqref="F216">
    <cfRule type="containsText" dxfId="185" priority="186" operator="containsText" text="F">
      <formula>NOT(ISERROR(SEARCH(("F"),(F216))))</formula>
    </cfRule>
  </conditionalFormatting>
  <conditionalFormatting sqref="O215:Q215">
    <cfRule type="expression" dxfId="184" priority="185">
      <formula>AND(ISNUMBER(O215),TRUNC(O215)&lt;TODAY())</formula>
    </cfRule>
  </conditionalFormatting>
  <conditionalFormatting sqref="F215">
    <cfRule type="containsText" dxfId="183" priority="184" operator="containsText" text="F">
      <formula>NOT(ISERROR(SEARCH(("F"),(F215))))</formula>
    </cfRule>
  </conditionalFormatting>
  <conditionalFormatting sqref="O214:Q214">
    <cfRule type="expression" dxfId="182" priority="183">
      <formula>AND(ISNUMBER(O214),TRUNC(O214)&lt;TODAY())</formula>
    </cfRule>
  </conditionalFormatting>
  <conditionalFormatting sqref="F214">
    <cfRule type="containsText" dxfId="181" priority="182" operator="containsText" text="F">
      <formula>NOT(ISERROR(SEARCH(("F"),(F214))))</formula>
    </cfRule>
  </conditionalFormatting>
  <conditionalFormatting sqref="O294:Q294">
    <cfRule type="expression" dxfId="180" priority="181">
      <formula>AND(ISNUMBER(O294),TRUNC(O294)&lt;TODAY())</formula>
    </cfRule>
  </conditionalFormatting>
  <conditionalFormatting sqref="F294">
    <cfRule type="containsText" dxfId="179" priority="180" operator="containsText" text="F">
      <formula>NOT(ISERROR(SEARCH(("F"),(F294))))</formula>
    </cfRule>
  </conditionalFormatting>
  <conditionalFormatting sqref="O293:Q293">
    <cfRule type="expression" dxfId="178" priority="179">
      <formula>AND(ISNUMBER(O293),TRUNC(O293)&lt;TODAY())</formula>
    </cfRule>
  </conditionalFormatting>
  <conditionalFormatting sqref="F293">
    <cfRule type="containsText" dxfId="177" priority="178" operator="containsText" text="F">
      <formula>NOT(ISERROR(SEARCH(("F"),(F293))))</formula>
    </cfRule>
  </conditionalFormatting>
  <conditionalFormatting sqref="O292:Q292">
    <cfRule type="expression" dxfId="176" priority="177">
      <formula>AND(ISNUMBER(O292),TRUNC(O292)&lt;TODAY())</formula>
    </cfRule>
  </conditionalFormatting>
  <conditionalFormatting sqref="F292">
    <cfRule type="containsText" dxfId="175" priority="176" operator="containsText" text="F">
      <formula>NOT(ISERROR(SEARCH(("F"),(F292))))</formula>
    </cfRule>
  </conditionalFormatting>
  <conditionalFormatting sqref="O291:Q291">
    <cfRule type="expression" dxfId="174" priority="175">
      <formula>AND(ISNUMBER(O291),TRUNC(O291)&lt;TODAY())</formula>
    </cfRule>
  </conditionalFormatting>
  <conditionalFormatting sqref="F291">
    <cfRule type="containsText" dxfId="173" priority="174" operator="containsText" text="F">
      <formula>NOT(ISERROR(SEARCH(("F"),(F291))))</formula>
    </cfRule>
  </conditionalFormatting>
  <conditionalFormatting sqref="Q188">
    <cfRule type="expression" dxfId="172" priority="173">
      <formula>AND(ISNUMBER(Q188),TRUNC(Q188)&lt;TODAY())</formula>
    </cfRule>
  </conditionalFormatting>
  <conditionalFormatting sqref="P188">
    <cfRule type="expression" dxfId="171" priority="172">
      <formula>AND(ISNUMBER(P188),TRUNC(P188)&lt;TODAY())</formula>
    </cfRule>
  </conditionalFormatting>
  <conditionalFormatting sqref="O188">
    <cfRule type="expression" dxfId="170" priority="171">
      <formula>AND(ISNUMBER(O188),TRUNC(O188)&lt;TODAY())</formula>
    </cfRule>
  </conditionalFormatting>
  <conditionalFormatting sqref="F188">
    <cfRule type="containsText" dxfId="169" priority="170" operator="containsText" text="F">
      <formula>NOT(ISERROR(SEARCH(("F"),(F188))))</formula>
    </cfRule>
  </conditionalFormatting>
  <conditionalFormatting sqref="V188">
    <cfRule type="notContainsBlanks" dxfId="168" priority="169">
      <formula>LEN(TRIM(V188))&gt;0</formula>
    </cfRule>
  </conditionalFormatting>
  <conditionalFormatting sqref="P187">
    <cfRule type="expression" dxfId="167" priority="168">
      <formula>AND(ISNUMBER(P187),TRUNC(P187)&lt;TODAY())</formula>
    </cfRule>
  </conditionalFormatting>
  <conditionalFormatting sqref="Q187">
    <cfRule type="expression" dxfId="166" priority="167">
      <formula>AND(ISNUMBER(Q187),TRUNC(Q187)&lt;TODAY())</formula>
    </cfRule>
  </conditionalFormatting>
  <conditionalFormatting sqref="O187">
    <cfRule type="expression" dxfId="165" priority="166">
      <formula>AND(ISNUMBER(O187),TRUNC(O187)&lt;TODAY())</formula>
    </cfRule>
  </conditionalFormatting>
  <conditionalFormatting sqref="P187">
    <cfRule type="expression" dxfId="164" priority="165">
      <formula>AND(ISNUMBER(P187),TRUNC(P187)&lt;TODAY())</formula>
    </cfRule>
  </conditionalFormatting>
  <conditionalFormatting sqref="F187">
    <cfRule type="containsText" dxfId="163" priority="164" operator="containsText" text="F">
      <formula>NOT(ISERROR(SEARCH(("F"),(F187))))</formula>
    </cfRule>
  </conditionalFormatting>
  <conditionalFormatting sqref="V187">
    <cfRule type="notContainsBlanks" dxfId="162" priority="163">
      <formula>LEN(TRIM(V187))&gt;0</formula>
    </cfRule>
  </conditionalFormatting>
  <conditionalFormatting sqref="Q186">
    <cfRule type="expression" dxfId="161" priority="162">
      <formula>AND(ISNUMBER(Q186),TRUNC(Q186)&lt;TODAY())</formula>
    </cfRule>
  </conditionalFormatting>
  <conditionalFormatting sqref="P186">
    <cfRule type="expression" dxfId="160" priority="161">
      <formula>AND(ISNUMBER(P186),TRUNC(P186)&lt;TODAY())</formula>
    </cfRule>
  </conditionalFormatting>
  <conditionalFormatting sqref="O186">
    <cfRule type="expression" dxfId="159" priority="160">
      <formula>AND(ISNUMBER(O186),TRUNC(O186)&lt;TODAY())</formula>
    </cfRule>
  </conditionalFormatting>
  <conditionalFormatting sqref="F186">
    <cfRule type="containsText" dxfId="158" priority="159" operator="containsText" text="F">
      <formula>NOT(ISERROR(SEARCH(("F"),(F186))))</formula>
    </cfRule>
  </conditionalFormatting>
  <conditionalFormatting sqref="V186">
    <cfRule type="notContainsBlanks" dxfId="157" priority="158">
      <formula>LEN(TRIM(V186))&gt;0</formula>
    </cfRule>
  </conditionalFormatting>
  <conditionalFormatting sqref="Q185">
    <cfRule type="expression" dxfId="156" priority="157">
      <formula>AND(ISNUMBER(Q185),TRUNC(Q185)&lt;TODAY())</formula>
    </cfRule>
  </conditionalFormatting>
  <conditionalFormatting sqref="P185">
    <cfRule type="expression" dxfId="155" priority="156">
      <formula>AND(ISNUMBER(P185),TRUNC(P185)&lt;TODAY())</formula>
    </cfRule>
  </conditionalFormatting>
  <conditionalFormatting sqref="O185">
    <cfRule type="expression" dxfId="154" priority="155">
      <formula>AND(ISNUMBER(O185),TRUNC(O185)&lt;TODAY())</formula>
    </cfRule>
  </conditionalFormatting>
  <conditionalFormatting sqref="F185">
    <cfRule type="containsText" dxfId="153" priority="154" operator="containsText" text="F">
      <formula>NOT(ISERROR(SEARCH(("F"),(F185))))</formula>
    </cfRule>
  </conditionalFormatting>
  <conditionalFormatting sqref="V185">
    <cfRule type="notContainsBlanks" dxfId="152" priority="153">
      <formula>LEN(TRIM(V185))&gt;0</formula>
    </cfRule>
  </conditionalFormatting>
  <conditionalFormatting sqref="P184">
    <cfRule type="expression" dxfId="151" priority="152">
      <formula>AND(ISNUMBER(P184),TRUNC(P184)&lt;TODAY())</formula>
    </cfRule>
  </conditionalFormatting>
  <conditionalFormatting sqref="O184">
    <cfRule type="expression" dxfId="150" priority="151">
      <formula>AND(ISNUMBER(O184),TRUNC(O184)&lt;TODAY())</formula>
    </cfRule>
  </conditionalFormatting>
  <conditionalFormatting sqref="F184">
    <cfRule type="containsText" dxfId="149" priority="150" operator="containsText" text="F">
      <formula>NOT(ISERROR(SEARCH(("F"),(F184))))</formula>
    </cfRule>
  </conditionalFormatting>
  <conditionalFormatting sqref="V184">
    <cfRule type="notContainsBlanks" dxfId="148" priority="149">
      <formula>LEN(TRIM(V184))&gt;0</formula>
    </cfRule>
  </conditionalFormatting>
  <conditionalFormatting sqref="P106">
    <cfRule type="expression" dxfId="147" priority="148">
      <formula>AND(ISNUMBER(P106),TRUNC(P106)&lt;TODAY())</formula>
    </cfRule>
  </conditionalFormatting>
  <conditionalFormatting sqref="Q106">
    <cfRule type="expression" dxfId="146" priority="147">
      <formula>AND(ISNUMBER(Q106),TRUNC(Q106)&lt;TODAY())</formula>
    </cfRule>
  </conditionalFormatting>
  <conditionalFormatting sqref="O106">
    <cfRule type="expression" dxfId="145" priority="146">
      <formula>AND(ISNUMBER(O106),TRUNC(O106)&lt;TODAY())</formula>
    </cfRule>
  </conditionalFormatting>
  <conditionalFormatting sqref="F106">
    <cfRule type="containsText" dxfId="144" priority="145" operator="containsText" text="F">
      <formula>NOT(ISERROR(SEARCH(("F"),(F106))))</formula>
    </cfRule>
  </conditionalFormatting>
  <conditionalFormatting sqref="P105">
    <cfRule type="expression" dxfId="143" priority="144">
      <formula>AND(ISNUMBER(P105),TRUNC(P105)&lt;TODAY())</formula>
    </cfRule>
  </conditionalFormatting>
  <conditionalFormatting sqref="Q105">
    <cfRule type="expression" dxfId="142" priority="143">
      <formula>AND(ISNUMBER(Q105),TRUNC(Q105)&lt;TODAY())</formula>
    </cfRule>
  </conditionalFormatting>
  <conditionalFormatting sqref="F105">
    <cfRule type="containsText" dxfId="141" priority="142" operator="containsText" text="F">
      <formula>NOT(ISERROR(SEARCH(("F"),(F105))))</formula>
    </cfRule>
  </conditionalFormatting>
  <conditionalFormatting sqref="O105">
    <cfRule type="expression" dxfId="140" priority="141">
      <formula>AND(ISNUMBER(O105),TRUNC(O105)&lt;TODAY())</formula>
    </cfRule>
  </conditionalFormatting>
  <conditionalFormatting sqref="P290">
    <cfRule type="expression" dxfId="139" priority="140">
      <formula>AND(ISNUMBER(P290),TRUNC(P290)&lt;TODAY())</formula>
    </cfRule>
  </conditionalFormatting>
  <conditionalFormatting sqref="F290">
    <cfRule type="containsText" dxfId="138" priority="139" operator="containsText" text="F">
      <formula>NOT(ISERROR(SEARCH(("F"),(F290))))</formula>
    </cfRule>
  </conditionalFormatting>
  <conditionalFormatting sqref="Q290">
    <cfRule type="expression" dxfId="137" priority="138">
      <formula>AND(ISNUMBER(Q290),TRUNC(Q290)&lt;TODAY())</formula>
    </cfRule>
  </conditionalFormatting>
  <conditionalFormatting sqref="O290">
    <cfRule type="expression" dxfId="136" priority="137">
      <formula>AND(ISNUMBER(O290),TRUNC(O290)&lt;TODAY())</formula>
    </cfRule>
  </conditionalFormatting>
  <conditionalFormatting sqref="F289">
    <cfRule type="containsText" dxfId="135" priority="136" operator="containsText" text="F">
      <formula>NOT(ISERROR(SEARCH(("F"),(F289))))</formula>
    </cfRule>
  </conditionalFormatting>
  <conditionalFormatting sqref="O289">
    <cfRule type="expression" dxfId="134" priority="135">
      <formula>AND(ISNUMBER(O289),TRUNC(O289)&lt;TODAY())</formula>
    </cfRule>
  </conditionalFormatting>
  <conditionalFormatting sqref="Q289">
    <cfRule type="expression" dxfId="133" priority="134">
      <formula>AND(ISNUMBER(Q289),TRUNC(Q289)&lt;TODAY())</formula>
    </cfRule>
  </conditionalFormatting>
  <conditionalFormatting sqref="P289">
    <cfRule type="expression" dxfId="132" priority="133">
      <formula>AND(ISNUMBER(P289),TRUNC(P289)&lt;TODAY())</formula>
    </cfRule>
  </conditionalFormatting>
  <conditionalFormatting sqref="Q183">
    <cfRule type="expression" dxfId="131" priority="132">
      <formula>AND(ISNUMBER(Q183),TRUNC(Q183)&lt;TODAY())</formula>
    </cfRule>
  </conditionalFormatting>
  <conditionalFormatting sqref="O183">
    <cfRule type="expression" dxfId="130" priority="131">
      <formula>AND(ISNUMBER(O183),TRUNC(O183)&lt;TODAY())</formula>
    </cfRule>
  </conditionalFormatting>
  <conditionalFormatting sqref="P183">
    <cfRule type="expression" dxfId="129" priority="130">
      <formula>AND(ISNUMBER(P183),TRUNC(P183)&lt;TODAY())</formula>
    </cfRule>
  </conditionalFormatting>
  <conditionalFormatting sqref="F183">
    <cfRule type="containsText" dxfId="128" priority="129" operator="containsText" text="F">
      <formula>NOT(ISERROR(SEARCH(("F"),(F183))))</formula>
    </cfRule>
  </conditionalFormatting>
  <conditionalFormatting sqref="F287:F288">
    <cfRule type="containsText" dxfId="127" priority="128" operator="containsText" text="F">
      <formula>NOT(ISERROR(SEARCH(("F"),(F287))))</formula>
    </cfRule>
  </conditionalFormatting>
  <conditionalFormatting sqref="F286">
    <cfRule type="containsText" dxfId="126" priority="127" operator="containsText" text="F">
      <formula>NOT(ISERROR(SEARCH(("F"),(F286))))</formula>
    </cfRule>
  </conditionalFormatting>
  <conditionalFormatting sqref="O286">
    <cfRule type="expression" dxfId="125" priority="126">
      <formula>AND(ISNUMBER(O286),TRUNC(O286)&lt;TODAY())</formula>
    </cfRule>
  </conditionalFormatting>
  <conditionalFormatting sqref="P286">
    <cfRule type="expression" dxfId="124" priority="125">
      <formula>AND(ISNUMBER(P286),TRUNC(P286)&lt;TODAY())</formula>
    </cfRule>
  </conditionalFormatting>
  <conditionalFormatting sqref="Q286">
    <cfRule type="expression" dxfId="123" priority="124">
      <formula>AND(ISNUMBER(Q286),TRUNC(Q286)&lt;TODAY())</formula>
    </cfRule>
  </conditionalFormatting>
  <conditionalFormatting sqref="Q286">
    <cfRule type="expression" dxfId="122" priority="123">
      <formula>AND(ISNUMBER(Q286),TRUNC(Q286)&lt;TODAY())</formula>
    </cfRule>
  </conditionalFormatting>
  <conditionalFormatting sqref="F285">
    <cfRule type="containsText" dxfId="121" priority="122" operator="containsText" text="F">
      <formula>NOT(ISERROR(SEARCH(("F"),(F285))))</formula>
    </cfRule>
  </conditionalFormatting>
  <conditionalFormatting sqref="O285">
    <cfRule type="expression" dxfId="120" priority="121">
      <formula>AND(ISNUMBER(O285),TRUNC(O285)&lt;TODAY())</formula>
    </cfRule>
  </conditionalFormatting>
  <conditionalFormatting sqref="Q285">
    <cfRule type="expression" dxfId="119" priority="120">
      <formula>AND(ISNUMBER(Q285),TRUNC(Q285)&lt;TODAY())</formula>
    </cfRule>
  </conditionalFormatting>
  <conditionalFormatting sqref="P285">
    <cfRule type="expression" dxfId="118" priority="119">
      <formula>AND(ISNUMBER(P285),TRUNC(P285)&lt;TODAY())</formula>
    </cfRule>
  </conditionalFormatting>
  <conditionalFormatting sqref="F284">
    <cfRule type="containsText" dxfId="117" priority="118" operator="containsText" text="F">
      <formula>NOT(ISERROR(SEARCH(("F"),(F284))))</formula>
    </cfRule>
  </conditionalFormatting>
  <conditionalFormatting sqref="O284">
    <cfRule type="expression" dxfId="116" priority="117">
      <formula>AND(ISNUMBER(O284),TRUNC(O284)&lt;TODAY())</formula>
    </cfRule>
  </conditionalFormatting>
  <conditionalFormatting sqref="P284">
    <cfRule type="expression" dxfId="115" priority="116">
      <formula>AND(ISNUMBER(P284),TRUNC(P284)&lt;TODAY())</formula>
    </cfRule>
  </conditionalFormatting>
  <conditionalFormatting sqref="Q284">
    <cfRule type="expression" dxfId="114" priority="115">
      <formula>AND(ISNUMBER(Q284),TRUNC(Q284)&lt;TODAY())</formula>
    </cfRule>
  </conditionalFormatting>
  <conditionalFormatting sqref="F283">
    <cfRule type="containsText" dxfId="113" priority="114" operator="containsText" text="F">
      <formula>NOT(ISERROR(SEARCH(("F"),(F283))))</formula>
    </cfRule>
  </conditionalFormatting>
  <conditionalFormatting sqref="O283">
    <cfRule type="expression" dxfId="112" priority="113">
      <formula>AND(ISNUMBER(O283),TRUNC(O283)&lt;TODAY())</formula>
    </cfRule>
  </conditionalFormatting>
  <conditionalFormatting sqref="P283">
    <cfRule type="expression" dxfId="111" priority="112">
      <formula>AND(ISNUMBER(P283),TRUNC(P283)&lt;TODAY())</formula>
    </cfRule>
  </conditionalFormatting>
  <conditionalFormatting sqref="P283:Q283">
    <cfRule type="expression" dxfId="110" priority="111">
      <formula>AND(ISNUMBER(P283),TRUNC(P283)&lt;TODAY())</formula>
    </cfRule>
  </conditionalFormatting>
  <conditionalFormatting sqref="O155:Q155">
    <cfRule type="expression" dxfId="109" priority="110">
      <formula>AND(ISNUMBER(O155),TRUNC(O155)&lt;TODAY())</formula>
    </cfRule>
  </conditionalFormatting>
  <conditionalFormatting sqref="F155">
    <cfRule type="containsText" dxfId="108" priority="109" operator="containsText" text="F">
      <formula>NOT(ISERROR(SEARCH(("F"),(F155))))</formula>
    </cfRule>
  </conditionalFormatting>
  <conditionalFormatting sqref="O154:Q154">
    <cfRule type="expression" dxfId="107" priority="108">
      <formula>AND(ISNUMBER(O154),TRUNC(O154)&lt;TODAY())</formula>
    </cfRule>
  </conditionalFormatting>
  <conditionalFormatting sqref="F154">
    <cfRule type="containsText" dxfId="106" priority="107" operator="containsText" text="F">
      <formula>NOT(ISERROR(SEARCH(("F"),(F154))))</formula>
    </cfRule>
  </conditionalFormatting>
  <conditionalFormatting sqref="O153:Q153">
    <cfRule type="expression" dxfId="105" priority="106">
      <formula>AND(ISNUMBER(O153),TRUNC(O153)&lt;TODAY())</formula>
    </cfRule>
  </conditionalFormatting>
  <conditionalFormatting sqref="F153">
    <cfRule type="containsText" dxfId="104" priority="105" operator="containsText" text="F">
      <formula>NOT(ISERROR(SEARCH(("F"),(F153))))</formula>
    </cfRule>
  </conditionalFormatting>
  <conditionalFormatting sqref="O152:Q152">
    <cfRule type="expression" dxfId="103" priority="104">
      <formula>AND(ISNUMBER(O152),TRUNC(O152)&lt;TODAY())</formula>
    </cfRule>
  </conditionalFormatting>
  <conditionalFormatting sqref="F152">
    <cfRule type="containsText" dxfId="102" priority="103" operator="containsText" text="F">
      <formula>NOT(ISERROR(SEARCH(("F"),(F152))))</formula>
    </cfRule>
  </conditionalFormatting>
  <conditionalFormatting sqref="O151:Q151">
    <cfRule type="expression" dxfId="101" priority="102">
      <formula>AND(ISNUMBER(O151),TRUNC(O151)&lt;TODAY())</formula>
    </cfRule>
  </conditionalFormatting>
  <conditionalFormatting sqref="F151">
    <cfRule type="containsText" dxfId="100" priority="101" operator="containsText" text="F">
      <formula>NOT(ISERROR(SEARCH(("F"),(F151))))</formula>
    </cfRule>
  </conditionalFormatting>
  <conditionalFormatting sqref="O150:Q150">
    <cfRule type="expression" dxfId="99" priority="100">
      <formula>AND(ISNUMBER(O150),TRUNC(O150)&lt;TODAY())</formula>
    </cfRule>
  </conditionalFormatting>
  <conditionalFormatting sqref="F150">
    <cfRule type="containsText" dxfId="98" priority="99" operator="containsText" text="F">
      <formula>NOT(ISERROR(SEARCH(("F"),(F150))))</formula>
    </cfRule>
  </conditionalFormatting>
  <conditionalFormatting sqref="F149">
    <cfRule type="containsText" dxfId="97" priority="98" operator="containsText" text="F">
      <formula>NOT(ISERROR(SEARCH(("F"),(F149))))</formula>
    </cfRule>
  </conditionalFormatting>
  <conditionalFormatting sqref="O149:Q149">
    <cfRule type="expression" dxfId="96" priority="97">
      <formula>AND(ISNUMBER(O149),TRUNC(O149)&lt;TODAY())</formula>
    </cfRule>
  </conditionalFormatting>
  <conditionalFormatting sqref="F148">
    <cfRule type="containsText" dxfId="95" priority="96" operator="containsText" text="F">
      <formula>NOT(ISERROR(SEARCH(("F"),(F148))))</formula>
    </cfRule>
  </conditionalFormatting>
  <conditionalFormatting sqref="O148:Q148">
    <cfRule type="expression" dxfId="94" priority="95">
      <formula>AND(ISNUMBER(O148),TRUNC(O148)&lt;TODAY())</formula>
    </cfRule>
  </conditionalFormatting>
  <conditionalFormatting sqref="Q148 P225 P241 P269">
    <cfRule type="expression" dxfId="93" priority="94">
      <formula>AND(ISNUMBER(Q148),TRUNC(Q148)&lt;TODAY())</formula>
    </cfRule>
  </conditionalFormatting>
  <conditionalFormatting sqref="F147">
    <cfRule type="containsText" dxfId="92" priority="93" operator="containsText" text="F">
      <formula>NOT(ISERROR(SEARCH(("F"),(F147))))</formula>
    </cfRule>
  </conditionalFormatting>
  <conditionalFormatting sqref="O147:Q147">
    <cfRule type="expression" dxfId="91" priority="92">
      <formula>AND(ISNUMBER(O147),TRUNC(O147)&lt;TODAY())</formula>
    </cfRule>
  </conditionalFormatting>
  <conditionalFormatting sqref="P282">
    <cfRule type="expression" dxfId="90" priority="91">
      <formula>AND(ISNUMBER(P282),TRUNC(P282)&lt;TODAY())</formula>
    </cfRule>
  </conditionalFormatting>
  <conditionalFormatting sqref="F282">
    <cfRule type="containsText" dxfId="89" priority="90" operator="containsText" text="F">
      <formula>NOT(ISERROR(SEARCH(("F"),(F282))))</formula>
    </cfRule>
  </conditionalFormatting>
  <conditionalFormatting sqref="O282">
    <cfRule type="expression" dxfId="88" priority="89">
      <formula>AND(ISNUMBER(O282),TRUNC(O282)&lt;TODAY())</formula>
    </cfRule>
  </conditionalFormatting>
  <conditionalFormatting sqref="Q282">
    <cfRule type="expression" dxfId="87" priority="88">
      <formula>AND(ISNUMBER(Q282),TRUNC(Q282)&lt;TODAY())</formula>
    </cfRule>
  </conditionalFormatting>
  <conditionalFormatting sqref="F281">
    <cfRule type="containsText" dxfId="86" priority="87" operator="containsText" text="F">
      <formula>NOT(ISERROR(SEARCH(("F"),(F281))))</formula>
    </cfRule>
  </conditionalFormatting>
  <conditionalFormatting sqref="P281">
    <cfRule type="expression" dxfId="85" priority="86">
      <formula>AND(ISNUMBER(P281),TRUNC(P281)&lt;TODAY())</formula>
    </cfRule>
  </conditionalFormatting>
  <conditionalFormatting sqref="P281">
    <cfRule type="expression" dxfId="84" priority="85">
      <formula>AND(ISNUMBER(P281),TRUNC(P281)&lt;TODAY())</formula>
    </cfRule>
  </conditionalFormatting>
  <conditionalFormatting sqref="O281">
    <cfRule type="expression" dxfId="83" priority="84">
      <formula>AND(ISNUMBER(O281),TRUNC(O281)&lt;TODAY())</formula>
    </cfRule>
  </conditionalFormatting>
  <conditionalFormatting sqref="Q281">
    <cfRule type="expression" dxfId="82" priority="83">
      <formula>AND(ISNUMBER(Q281),TRUNC(Q281)&lt;TODAY())</formula>
    </cfRule>
  </conditionalFormatting>
  <conditionalFormatting sqref="Q280">
    <cfRule type="expression" dxfId="81" priority="82">
      <formula>AND(ISNUMBER(Q280),TRUNC(Q280)&lt;TODAY())</formula>
    </cfRule>
  </conditionalFormatting>
  <conditionalFormatting sqref="P280">
    <cfRule type="expression" dxfId="80" priority="81">
      <formula>AND(ISNUMBER(P280),TRUNC(P280)&lt;TODAY())</formula>
    </cfRule>
  </conditionalFormatting>
  <conditionalFormatting sqref="P280">
    <cfRule type="expression" dxfId="79" priority="80">
      <formula>AND(ISNUMBER(P280),TRUNC(P280)&lt;TODAY())</formula>
    </cfRule>
  </conditionalFormatting>
  <conditionalFormatting sqref="P280">
    <cfRule type="expression" dxfId="78" priority="79">
      <formula>P280&lt;44165</formula>
    </cfRule>
  </conditionalFormatting>
  <conditionalFormatting sqref="O280">
    <cfRule type="expression" dxfId="77" priority="78">
      <formula>AND(ISNUMBER(O280),TRUNC(O280)&lt;TODAY())</formula>
    </cfRule>
  </conditionalFormatting>
  <conditionalFormatting sqref="F280">
    <cfRule type="containsText" dxfId="76" priority="77" operator="containsText" text="F">
      <formula>NOT(ISERROR(SEARCH(("F"),(F280))))</formula>
    </cfRule>
  </conditionalFormatting>
  <conditionalFormatting sqref="Q279">
    <cfRule type="expression" dxfId="75" priority="76">
      <formula>AND(ISNUMBER(Q279),TRUNC(Q279)&lt;TODAY())</formula>
    </cfRule>
  </conditionalFormatting>
  <conditionalFormatting sqref="Q279">
    <cfRule type="expression" dxfId="74" priority="75">
      <formula>AND(ISNUMBER(Q279),TRUNC(Q279)&lt;TODAY())</formula>
    </cfRule>
  </conditionalFormatting>
  <conditionalFormatting sqref="V279">
    <cfRule type="notContainsBlanks" dxfId="73" priority="74">
      <formula>LEN(TRIM(V279))&gt;0</formula>
    </cfRule>
  </conditionalFormatting>
  <conditionalFormatting sqref="O279">
    <cfRule type="expression" dxfId="72" priority="73">
      <formula>AND(ISNUMBER(O279),TRUNC(O279)&lt;TODAY())</formula>
    </cfRule>
  </conditionalFormatting>
  <conditionalFormatting sqref="F279">
    <cfRule type="containsText" dxfId="71" priority="72" operator="containsText" text="F">
      <formula>NOT(ISERROR(SEARCH(("F"),(F279))))</formula>
    </cfRule>
  </conditionalFormatting>
  <conditionalFormatting sqref="P279">
    <cfRule type="expression" dxfId="70" priority="71">
      <formula>AND(ISNUMBER(P279),TRUNC(P279)&lt;TODAY())</formula>
    </cfRule>
  </conditionalFormatting>
  <conditionalFormatting sqref="Q278">
    <cfRule type="expression" dxfId="69" priority="70">
      <formula>AND(ISNUMBER(Q278),TRUNC(Q278)&lt;TODAY())</formula>
    </cfRule>
  </conditionalFormatting>
  <conditionalFormatting sqref="O278">
    <cfRule type="expression" dxfId="68" priority="69">
      <formula>AND(ISNUMBER(O278),TRUNC(O278)&lt;TODAY())</formula>
    </cfRule>
  </conditionalFormatting>
  <conditionalFormatting sqref="P278">
    <cfRule type="expression" dxfId="67" priority="68">
      <formula>AND(ISNUMBER(P278),TRUNC(P278)&lt;TODAY())</formula>
    </cfRule>
  </conditionalFormatting>
  <conditionalFormatting sqref="F278">
    <cfRule type="containsText" dxfId="66" priority="67" operator="containsText" text="F">
      <formula>NOT(ISERROR(SEARCH(("F"),(F278))))</formula>
    </cfRule>
  </conditionalFormatting>
  <conditionalFormatting sqref="F277">
    <cfRule type="containsText" dxfId="65" priority="66" operator="containsText" text="F">
      <formula>NOT(ISERROR(SEARCH(("F"),(F277))))</formula>
    </cfRule>
  </conditionalFormatting>
  <conditionalFormatting sqref="O277">
    <cfRule type="expression" dxfId="64" priority="65">
      <formula>AND(ISNUMBER(O277),TRUNC(O277)&lt;TODAY())</formula>
    </cfRule>
  </conditionalFormatting>
  <conditionalFormatting sqref="P277">
    <cfRule type="expression" dxfId="63" priority="64">
      <formula>P277&lt;44165</formula>
    </cfRule>
  </conditionalFormatting>
  <conditionalFormatting sqref="P277">
    <cfRule type="expression" dxfId="62" priority="63">
      <formula>AND(ISNUMBER(P277),TRUNC(P277)&lt;TODAY())</formula>
    </cfRule>
  </conditionalFormatting>
  <conditionalFormatting sqref="P277">
    <cfRule type="expression" dxfId="61" priority="62">
      <formula>AND(ISNUMBER(P277),TRUNC(P277)&lt;TODAY())</formula>
    </cfRule>
  </conditionalFormatting>
  <conditionalFormatting sqref="Q277">
    <cfRule type="expression" dxfId="60" priority="61">
      <formula>AND(ISNUMBER(Q277),TRUNC(Q277)&lt;TODAY())</formula>
    </cfRule>
  </conditionalFormatting>
  <conditionalFormatting sqref="F105">
    <cfRule type="containsText" dxfId="59" priority="60" operator="containsText" text="F">
      <formula>NOT(ISERROR(SEARCH(("F"),(F105))))</formula>
    </cfRule>
  </conditionalFormatting>
  <conditionalFormatting sqref="P182">
    <cfRule type="expression" dxfId="58" priority="59">
      <formula>AND(ISNUMBER(P182),TRUNC(P182)&lt;TODAY())</formula>
    </cfRule>
  </conditionalFormatting>
  <conditionalFormatting sqref="O182">
    <cfRule type="expression" dxfId="57" priority="58">
      <formula>AND(ISNUMBER(O182),TRUNC(O182)&lt;TODAY())</formula>
    </cfRule>
  </conditionalFormatting>
  <conditionalFormatting sqref="F182">
    <cfRule type="containsText" dxfId="56" priority="57" operator="containsText" text="F">
      <formula>NOT(ISERROR(SEARCH(("F"),(F182))))</formula>
    </cfRule>
  </conditionalFormatting>
  <conditionalFormatting sqref="Q182">
    <cfRule type="expression" dxfId="55" priority="56">
      <formula>AND(ISNUMBER(Q182),TRUNC(Q182)&lt;TODAY())</formula>
    </cfRule>
  </conditionalFormatting>
  <conditionalFormatting sqref="O276:Q276">
    <cfRule type="expression" dxfId="54" priority="55">
      <formula>AND(ISNUMBER(O276),TRUNC(O276)&lt;TODAY())</formula>
    </cfRule>
  </conditionalFormatting>
  <conditionalFormatting sqref="O275">
    <cfRule type="expression" dxfId="53" priority="54">
      <formula>AND(ISNUMBER(O275),TRUNC(O275)&lt;TODAY())</formula>
    </cfRule>
  </conditionalFormatting>
  <conditionalFormatting sqref="Q275">
    <cfRule type="expression" dxfId="52" priority="53">
      <formula>AND(ISNUMBER(Q275),TRUNC(Q275)&lt;TODAY())</formula>
    </cfRule>
  </conditionalFormatting>
  <conditionalFormatting sqref="F275">
    <cfRule type="containsText" dxfId="51" priority="52" operator="containsText" text="F">
      <formula>NOT(ISERROR(SEARCH(("F"),(F275))))</formula>
    </cfRule>
  </conditionalFormatting>
  <conditionalFormatting sqref="P275">
    <cfRule type="expression" dxfId="50" priority="51">
      <formula>AND(ISNUMBER(P275),TRUNC(P275)&lt;TODAY())</formula>
    </cfRule>
  </conditionalFormatting>
  <conditionalFormatting sqref="Q209 Q249">
    <cfRule type="expression" dxfId="49" priority="50">
      <formula>AND(ISNUMBER(Q209),TRUNC(Q209)&lt;TODAY())</formula>
    </cfRule>
  </conditionalFormatting>
  <conditionalFormatting sqref="O146:Q146">
    <cfRule type="expression" dxfId="48" priority="49">
      <formula>AND(ISNUMBER(O146),TRUNC(O146)&lt;TODAY())</formula>
    </cfRule>
  </conditionalFormatting>
  <conditionalFormatting sqref="F146">
    <cfRule type="containsText" dxfId="47" priority="48" operator="containsText" text="F">
      <formula>NOT(ISERROR(SEARCH(("F"),(F146))))</formula>
    </cfRule>
  </conditionalFormatting>
  <conditionalFormatting sqref="O145:Q145">
    <cfRule type="expression" dxfId="46" priority="47">
      <formula>AND(ISNUMBER(O145),TRUNC(O145)&lt;TODAY())</formula>
    </cfRule>
  </conditionalFormatting>
  <conditionalFormatting sqref="F145">
    <cfRule type="containsText" dxfId="45" priority="46" operator="containsText" text="F">
      <formula>NOT(ISERROR(SEARCH(("F"),(F145))))</formula>
    </cfRule>
  </conditionalFormatting>
  <conditionalFormatting sqref="O144:Q144">
    <cfRule type="expression" dxfId="44" priority="45">
      <formula>AND(ISNUMBER(O144),TRUNC(O144)&lt;TODAY())</formula>
    </cfRule>
  </conditionalFormatting>
  <conditionalFormatting sqref="F144">
    <cfRule type="containsText" dxfId="43" priority="44" operator="containsText" text="F">
      <formula>NOT(ISERROR(SEARCH(("F"),(F144))))</formula>
    </cfRule>
  </conditionalFormatting>
  <conditionalFormatting sqref="O143:Q143">
    <cfRule type="expression" dxfId="42" priority="43">
      <formula>AND(ISNUMBER(O143),TRUNC(O143)&lt;TODAY())</formula>
    </cfRule>
  </conditionalFormatting>
  <conditionalFormatting sqref="F143">
    <cfRule type="containsText" dxfId="41" priority="42" operator="containsText" text="F">
      <formula>NOT(ISERROR(SEARCH(("F"),(F143))))</formula>
    </cfRule>
  </conditionalFormatting>
  <conditionalFormatting sqref="F142">
    <cfRule type="containsText" dxfId="40" priority="41" operator="containsText" text="F">
      <formula>NOT(ISERROR(SEARCH(("F"),(F142))))</formula>
    </cfRule>
  </conditionalFormatting>
  <conditionalFormatting sqref="O142:Q142">
    <cfRule type="expression" dxfId="39" priority="40">
      <formula>AND(ISNUMBER(O142),TRUNC(O142)&lt;TODAY())</formula>
    </cfRule>
  </conditionalFormatting>
  <conditionalFormatting sqref="F141">
    <cfRule type="containsText" dxfId="38" priority="39" operator="containsText" text="F">
      <formula>NOT(ISERROR(SEARCH(("F"),(F141))))</formula>
    </cfRule>
  </conditionalFormatting>
  <conditionalFormatting sqref="O141:Q141">
    <cfRule type="expression" dxfId="37" priority="38">
      <formula>AND(ISNUMBER(O141),TRUNC(O141)&lt;TODAY())</formula>
    </cfRule>
  </conditionalFormatting>
  <conditionalFormatting sqref="F140">
    <cfRule type="containsText" dxfId="36" priority="37" operator="containsText" text="F">
      <formula>NOT(ISERROR(SEARCH(("F"),(F140))))</formula>
    </cfRule>
  </conditionalFormatting>
  <conditionalFormatting sqref="O140:Q140">
    <cfRule type="expression" dxfId="35" priority="36">
      <formula>AND(ISNUMBER(O140),TRUNC(O140)&lt;TODAY())</formula>
    </cfRule>
  </conditionalFormatting>
  <conditionalFormatting sqref="O104:Q104">
    <cfRule type="expression" dxfId="34" priority="35">
      <formula>AND(ISNUMBER(O104),TRUNC(O104)&lt;TODAY())</formula>
    </cfRule>
  </conditionalFormatting>
  <conditionalFormatting sqref="F104">
    <cfRule type="containsText" dxfId="33" priority="34" operator="containsText" text="F">
      <formula>NOT(ISERROR(SEARCH(("F"),(F104))))</formula>
    </cfRule>
  </conditionalFormatting>
  <conditionalFormatting sqref="O103:Q103">
    <cfRule type="expression" dxfId="32" priority="33">
      <formula>AND(ISNUMBER(O103),TRUNC(O103)&lt;TODAY())</formula>
    </cfRule>
  </conditionalFormatting>
  <conditionalFormatting sqref="F103">
    <cfRule type="containsText" dxfId="31" priority="32" operator="containsText" text="F">
      <formula>NOT(ISERROR(SEARCH(("F"),(F103))))</formula>
    </cfRule>
  </conditionalFormatting>
  <conditionalFormatting sqref="F103:F104">
    <cfRule type="containsText" dxfId="30" priority="31" operator="containsText" text="F">
      <formula>NOT(ISERROR(SEARCH(("F"),(F103))))</formula>
    </cfRule>
  </conditionalFormatting>
  <conditionalFormatting sqref="F102">
    <cfRule type="containsText" dxfId="29" priority="30" operator="containsText" text="F">
      <formula>NOT(ISERROR(SEARCH(("F"),(F102))))</formula>
    </cfRule>
  </conditionalFormatting>
  <conditionalFormatting sqref="O102:Q102">
    <cfRule type="expression" dxfId="28" priority="29">
      <formula>AND(ISNUMBER(O102),TRUNC(O102)&lt;TODAY())</formula>
    </cfRule>
  </conditionalFormatting>
  <conditionalFormatting sqref="P208">
    <cfRule type="expression" dxfId="27" priority="28">
      <formula>AND(ISNUMBER(P208),TRUNC(P208)&lt;TODAY())</formula>
    </cfRule>
  </conditionalFormatting>
  <conditionalFormatting sqref="O157:Q157">
    <cfRule type="expression" dxfId="26" priority="27">
      <formula>AND(ISNUMBER(O157),TRUNC(O157)&lt;TODAY())</formula>
    </cfRule>
  </conditionalFormatting>
  <conditionalFormatting sqref="F157">
    <cfRule type="containsText" dxfId="25" priority="26" operator="containsText" text="F">
      <formula>NOT(ISERROR(SEARCH(("F"),(F157))))</formula>
    </cfRule>
  </conditionalFormatting>
  <conditionalFormatting sqref="F274">
    <cfRule type="containsText" dxfId="24" priority="25" operator="containsText" text="F">
      <formula>NOT(ISERROR(SEARCH(("F"),(F274))))</formula>
    </cfRule>
  </conditionalFormatting>
  <conditionalFormatting sqref="F179">
    <cfRule type="containsText" dxfId="23" priority="24" operator="containsText" text="F">
      <formula>NOT(ISERROR(SEARCH(("F"),(F179))))</formula>
    </cfRule>
  </conditionalFormatting>
  <conditionalFormatting sqref="F178">
    <cfRule type="containsText" dxfId="22" priority="23" operator="containsText" text="F">
      <formula>NOT(ISERROR(SEARCH(("F"),(F178))))</formula>
    </cfRule>
  </conditionalFormatting>
  <conditionalFormatting sqref="F177">
    <cfRule type="containsText" dxfId="21" priority="22" operator="containsText" text="F">
      <formula>NOT(ISERROR(SEARCH(("F"),(F177))))</formula>
    </cfRule>
  </conditionalFormatting>
  <conditionalFormatting sqref="F176">
    <cfRule type="containsText" dxfId="20" priority="21" operator="containsText" text="F">
      <formula>NOT(ISERROR(SEARCH(("F"),(F176))))</formula>
    </cfRule>
  </conditionalFormatting>
  <conditionalFormatting sqref="F175">
    <cfRule type="containsText" dxfId="19" priority="20" operator="containsText" text="F">
      <formula>NOT(ISERROR(SEARCH(("F"),(F175))))</formula>
    </cfRule>
  </conditionalFormatting>
  <conditionalFormatting sqref="F174">
    <cfRule type="containsText" dxfId="18" priority="19" operator="containsText" text="F">
      <formula>NOT(ISERROR(SEARCH(("F"),(F174))))</formula>
    </cfRule>
  </conditionalFormatting>
  <conditionalFormatting sqref="F173">
    <cfRule type="containsText" dxfId="17" priority="18" operator="containsText" text="F">
      <formula>NOT(ISERROR(SEARCH(("F"),(F173))))</formula>
    </cfRule>
  </conditionalFormatting>
  <conditionalFormatting sqref="F181">
    <cfRule type="containsText" dxfId="16" priority="17" operator="containsText" text="F">
      <formula>NOT(ISERROR(SEARCH(("F"),(F181))))</formula>
    </cfRule>
  </conditionalFormatting>
  <conditionalFormatting sqref="F180">
    <cfRule type="containsText" dxfId="15" priority="16" operator="containsText" text="F">
      <formula>NOT(ISERROR(SEARCH(("F"),(F180))))</formula>
    </cfRule>
  </conditionalFormatting>
  <conditionalFormatting sqref="F139">
    <cfRule type="containsText" dxfId="14" priority="15" operator="containsText" text="F">
      <formula>NOT(ISERROR(SEARCH(("F"),(F139))))</formula>
    </cfRule>
  </conditionalFormatting>
  <conditionalFormatting sqref="F138">
    <cfRule type="containsText" dxfId="13" priority="14" operator="containsText" text="F">
      <formula>NOT(ISERROR(SEARCH(("F"),(F138))))</formula>
    </cfRule>
  </conditionalFormatting>
  <conditionalFormatting sqref="F137">
    <cfRule type="containsText" dxfId="12" priority="13" operator="containsText" text="F">
      <formula>NOT(ISERROR(SEARCH(("F"),(F137))))</formula>
    </cfRule>
  </conditionalFormatting>
  <conditionalFormatting sqref="F136">
    <cfRule type="containsText" dxfId="11" priority="12" operator="containsText" text="F">
      <formula>NOT(ISERROR(SEARCH(("F"),(F136))))</formula>
    </cfRule>
  </conditionalFormatting>
  <conditionalFormatting sqref="F135">
    <cfRule type="containsText" dxfId="10" priority="11" operator="containsText" text="F">
      <formula>NOT(ISERROR(SEARCH(("F"),(F135))))</formula>
    </cfRule>
  </conditionalFormatting>
  <conditionalFormatting sqref="F134">
    <cfRule type="containsText" dxfId="9" priority="10" operator="containsText" text="F">
      <formula>NOT(ISERROR(SEARCH(("F"),(F134))))</formula>
    </cfRule>
  </conditionalFormatting>
  <conditionalFormatting sqref="F133">
    <cfRule type="containsText" dxfId="8" priority="9" operator="containsText" text="F">
      <formula>NOT(ISERROR(SEARCH(("F"),(F133))))</formula>
    </cfRule>
  </conditionalFormatting>
  <conditionalFormatting sqref="F132">
    <cfRule type="containsText" dxfId="7" priority="8" operator="containsText" text="F">
      <formula>NOT(ISERROR(SEARCH(("F"),(F132))))</formula>
    </cfRule>
  </conditionalFormatting>
  <conditionalFormatting sqref="F131">
    <cfRule type="containsText" dxfId="6" priority="7" operator="containsText" text="F">
      <formula>NOT(ISERROR(SEARCH(("F"),(F131))))</formula>
    </cfRule>
  </conditionalFormatting>
  <conditionalFormatting sqref="F130">
    <cfRule type="containsText" dxfId="5" priority="6" operator="containsText" text="F">
      <formula>NOT(ISERROR(SEARCH(("F"),(F130))))</formula>
    </cfRule>
  </conditionalFormatting>
  <conditionalFormatting sqref="F129">
    <cfRule type="containsText" dxfId="4" priority="5" operator="containsText" text="F">
      <formula>NOT(ISERROR(SEARCH(("F"),(F129))))</formula>
    </cfRule>
  </conditionalFormatting>
  <conditionalFormatting sqref="F128">
    <cfRule type="containsText" dxfId="3" priority="4" operator="containsText" text="F">
      <formula>NOT(ISERROR(SEARCH(("F"),(F128))))</formula>
    </cfRule>
  </conditionalFormatting>
  <conditionalFormatting sqref="F127">
    <cfRule type="containsText" dxfId="2" priority="3" operator="containsText" text="F">
      <formula>NOT(ISERROR(SEARCH(("F"),(F127))))</formula>
    </cfRule>
  </conditionalFormatting>
  <conditionalFormatting sqref="F1 F108 F113 F116:F126 F156 F158 F163:F172 F189:F213 F223:F273">
    <cfRule type="containsText" dxfId="1" priority="2" operator="containsText" text="F">
      <formula>NOT(ISERROR(SEARCH(("F"),(F1))))</formula>
    </cfRule>
  </conditionalFormatting>
  <conditionalFormatting sqref="O1:Q1 O108:Q108 O113:Q113 O116:Q139 O156:Q156 O158:Q158 O163:Q181 O189:Q213 O223:Q274 O287:Q288">
    <cfRule type="expression" dxfId="0" priority="1">
      <formula>AND(ISNUMBER(O1),TRUNC(O1)&lt;TODAY())</formula>
    </cfRule>
  </conditionalFormatting>
  <dataValidations count="7">
    <dataValidation type="custom" allowBlank="1" showDropDown="1" showErrorMessage="1" sqref="N2:P4 N7:O7 N8:P8 N9:O9 N10:P10 N11:O12 N14:P14 N18:P18 P21:P22 P24:P26 P29 N31:O32 N34:P34 P36 P40 P44:P45 P47 P49:P51 P53 P67:P68 N75:O75 N77:O77 N80:O80 N82:O82 P87 N88:O88 N89:P89 P90 N92:O92 N102:O102 N104:O104 N109:N116 P117 N118:O118 P120 N121:O121 N122:P122 P123 N131:P131 P132 N134:P135 N136:O136 N143:O143 N151:O151 P158 P162 N163:O163 N164:P164 P165 P169:P173 N177:O177 P178 N183:O183 P184 P187 P192 P197 P200 P203 N204:P204 P205 N207:P207 P208 N218:P221 N223:O223 N229:O229 P230 N232:O232 N238:O238 N242:O243 N245:O246 N248:O250 N254:O254 P255 N256:O256 N260:O260 N262:O262 N264:O264 N269:O271 N273:O273 N282:O282 P285 N286:O286 N290:O294">
      <formula1>OR(NOT(ISERROR(DATEVALUE(N2))), AND(ISNUMBER(N2), LEFT(CELL("format", N2))="D"))</formula1>
    </dataValidation>
    <dataValidation type="list" allowBlank="1" showErrorMessage="1" sqref="G2:G15 G17:G19 G31:G32 G34 G46:G47 G75 G77 G80 G82 G88:G89 G92 G102 G113 G116:G118 G120:G123 G125 G127:G128 G130:G132 G134:G137 G143 G149 G151 G156 G158 G163:G165 G168:G169 G173:G174 G177 G179 G183:G186 G188 G190:G193 G195:G196 G200 G204:G205 G207:G210 G212:G216 G218:G223 G229 G232 G238 G242:G243 G245:G246 G248:G250 G254 G256 G260 G262 G264 G269:G271 G273 G282 G286 G290:G294">
      <formula1>"UR,SC,ST"</formula1>
    </dataValidation>
    <dataValidation type="list" allowBlank="1" sqref="V48:V50 V52 V55:V57 V68 V82:V87 V89 V101 V104 V136 V139:V142 V151 V157 V159:V162">
      <formula1>"YES,NO,DW"</formula1>
    </dataValidation>
    <dataValidation type="list" allowBlank="1" sqref="G16 G20:G30 G33 G35:G45 G48:G74 G76 G78:G79 G81 G83:G87 G90:G91 G93:G101 G107:G109 G111:G112 G119 G124 G126 G129 G133 G138:G142 G144:G148 G150 G152:G155 G157 G159:G162 G166:G167 G170:G172 G175:G176 G178 G180:G182 G187 G189 G194 G197:G199 G201:G203 G206 G211 G217 G224:G228 G230:G231 G233:G237 G239:G241 G244 G247 G251:G253 G255 G257:G259 G261 G263 G265:G268 G272 G274:G281 G283:G285 G287:G289">
      <formula1>"UR,SC,ST"</formula1>
    </dataValidation>
    <dataValidation type="list" allowBlank="1" showInputMessage="1" showErrorMessage="1" prompt="Either M or F" sqref="F47 F90:F92 F109 F111:F112 F114:F116">
      <formula1>"M,F"</formula1>
    </dataValidation>
    <dataValidation type="custom" allowBlank="1" showDropDown="1" showInputMessage="1" showErrorMessage="1" prompt="Enter a valid date" sqref="M2:M4 Q2:Q4 M5:Q6 P7:Q7 Q8 P9:Q9 Q10 M7:M12 P11:Q12 M13:Q13 M14 Q14 M15:Q17 M18 Q18 M19:Q20 M21:O22 Q21:Q22 M23:Q23 M24:O26 Q24:Q26 M27:Q28 M29:O29 Q29 M30:Q30 M31:M32 P31:Q32 M33:Q33 M34 Q34 M35:Q35 M36:O36 Q36 M37:Q39 M40:O40 Q40 M41:Q43 M44:O45 Q44:Q45 M46:Q46 M47:O47 Q47 M48:Q48 M49:O51 Q49:Q51 M52:Q52 M53:O53 Q53 M54:Q59 N60 P60:Q60 M61:Q66 M67:O68 Q67:Q68 M69:Q71 M72:N72 P72:Q72 M73:Q74 M75 P75:Q75 M76:Q76 M77 P77:Q77 M78:Q79 M80 P80:Q80 M81:Q81 M82 P82:Q82 M83:Q86 M87:O87 Q87 P88:Q88 M88:M89 M90:O90 Q89:Q90 M91:Q91 P92:Q92 M93:Q101 M102 P102:Q102 P104:Q104 M105:Q108 M109 O109:Q109 M111:M116 O111:Q116 M117:O117 Q117 M118 P118:Q118 M119:Q119 M120:O120 Q120 P121:Q121 M121:M122 M123:O123 Q122:Q123 M124:Q130 M131 M132:O132 Q131:Q132 M133:Q133 Q134:Q135 M134:M136 P136:Q136 M137:Q142 M143 P143:Q143 M144:Q150 M151 P151:Q151 M152:Q157 M158:O158 Q158 M159:Q161 M162:O162 Q162 P163:Q163 M163:M164 M165:O165 Q164:Q165 M166:Q168 M169:O173 Q169:Q173 M174:Q176 M177 P177:Q177 M178:O178 Q178 M179:Q182 M183 P183:Q183 M184:O184 Q184 M185:Q186 M187:O187 Q187 M188:Q191 M192:O192 Q192 M193:Q196 M197:O197 Q197 M198:Q199 M200:O200 Q200 M201:Q202 M203:O203 M204 M205:O205 Q203:Q205 M206:Q206 M207 M208:O208 Q208 M209:Q217 M218:M221 Q218:Q221 M222:Q222 M223 P223:Q223 M224:Q228 M229 P229:Q229 M230:O230 Q230 N231 M232 P231:Q232 M233:Q237 M238 P238:Q238 M239:Q241 M242:M243 P242:Q243 M244:Q244 M245:M246 P245:Q246 M247:Q247 M248:M250 P248:Q250 M251:Q253 M254 P254:Q254 M255:O255 Q255 M256 P256:Q256 M257:Q259 M260 P260:Q260 M261:Q261 M262 P262:Q262 M263:Q263 M264 P264:Q264 M265:Q268 M269:M271 P269:Q271 M272:Q272 M273 P273:Q273 M274:Q274 P275:Q275 M276:Q281 M282 P282:Q282 M283:Q284 M285:O285 Q285 M286 P286:Q286 M287:Q289 M290:M294 P290:Q294">
      <formula1>OR(NOT(ISERROR(DATEVALUE(M2))), AND(ISNUMBER(M2), LEFT(CELL("format", M2))="D"))</formula1>
    </dataValidation>
    <dataValidation type="list" allowBlank="1" sqref="H47 H90:H92">
      <formula1>"A,B,C"</formula1>
    </dataValidation>
  </dataValidations>
  <hyperlinks>
    <hyperlink ref="T2" r:id="rId1"/>
    <hyperlink ref="U2" r:id="rId2"/>
    <hyperlink ref="T3" r:id="rId3"/>
    <hyperlink ref="U3" r:id="rId4"/>
    <hyperlink ref="T4" r:id="rId5"/>
    <hyperlink ref="U4" r:id="rId6"/>
    <hyperlink ref="T5" r:id="rId7"/>
    <hyperlink ref="U5" r:id="rId8"/>
    <hyperlink ref="T6" r:id="rId9"/>
    <hyperlink ref="U6" r:id="rId10"/>
    <hyperlink ref="T7" r:id="rId11"/>
    <hyperlink ref="U7" r:id="rId12"/>
    <hyperlink ref="T8" r:id="rId13"/>
    <hyperlink ref="U8" r:id="rId14"/>
    <hyperlink ref="T9" r:id="rId15"/>
    <hyperlink ref="U9" r:id="rId16"/>
    <hyperlink ref="T10" r:id="rId17"/>
    <hyperlink ref="U10" r:id="rId18"/>
    <hyperlink ref="T11" r:id="rId19"/>
    <hyperlink ref="U11" r:id="rId20"/>
    <hyperlink ref="T12" r:id="rId21"/>
    <hyperlink ref="U12" r:id="rId22"/>
    <hyperlink ref="T13" r:id="rId23"/>
    <hyperlink ref="U13" r:id="rId24"/>
    <hyperlink ref="T14" r:id="rId25"/>
    <hyperlink ref="U14" r:id="rId26"/>
    <hyperlink ref="T15" r:id="rId27"/>
    <hyperlink ref="U15" r:id="rId28"/>
    <hyperlink ref="T16" r:id="rId29"/>
    <hyperlink ref="U16" r:id="rId30"/>
    <hyperlink ref="T17" r:id="rId31"/>
    <hyperlink ref="U17" r:id="rId32"/>
    <hyperlink ref="T18" r:id="rId33"/>
    <hyperlink ref="U18" r:id="rId34"/>
    <hyperlink ref="T19" r:id="rId35"/>
    <hyperlink ref="U19" r:id="rId36"/>
    <hyperlink ref="T20" r:id="rId37"/>
    <hyperlink ref="U20" r:id="rId38"/>
    <hyperlink ref="T21" r:id="rId39"/>
    <hyperlink ref="U21" r:id="rId40"/>
    <hyperlink ref="T22" r:id="rId41"/>
    <hyperlink ref="U22" r:id="rId42"/>
    <hyperlink ref="T23" r:id="rId43"/>
    <hyperlink ref="U23" r:id="rId44"/>
    <hyperlink ref="T24" r:id="rId45"/>
    <hyperlink ref="U24" r:id="rId46"/>
    <hyperlink ref="T25" r:id="rId47"/>
    <hyperlink ref="U25" r:id="rId48"/>
    <hyperlink ref="T26" r:id="rId49"/>
    <hyperlink ref="U26" r:id="rId50"/>
    <hyperlink ref="T27" r:id="rId51"/>
    <hyperlink ref="U27" r:id="rId52"/>
    <hyperlink ref="T28" r:id="rId53"/>
    <hyperlink ref="U28" r:id="rId54"/>
    <hyperlink ref="S29" r:id="rId55"/>
    <hyperlink ref="T29" r:id="rId56"/>
    <hyperlink ref="U29" r:id="rId57"/>
    <hyperlink ref="T30" r:id="rId58"/>
    <hyperlink ref="U30" r:id="rId59"/>
    <hyperlink ref="T31" r:id="rId60"/>
    <hyperlink ref="U31" r:id="rId61"/>
    <hyperlink ref="T32" r:id="rId62"/>
    <hyperlink ref="U32" r:id="rId63"/>
    <hyperlink ref="S33" r:id="rId64"/>
    <hyperlink ref="T33" r:id="rId65"/>
    <hyperlink ref="U33" r:id="rId66"/>
    <hyperlink ref="T34" r:id="rId67"/>
    <hyperlink ref="U34" r:id="rId68"/>
    <hyperlink ref="T35" r:id="rId69"/>
    <hyperlink ref="U35" r:id="rId70"/>
    <hyperlink ref="T36" r:id="rId71"/>
    <hyperlink ref="U36" r:id="rId72"/>
    <hyperlink ref="R37" r:id="rId73"/>
    <hyperlink ref="T37" r:id="rId74"/>
    <hyperlink ref="U37" r:id="rId75"/>
    <hyperlink ref="S38" r:id="rId76"/>
    <hyperlink ref="T38" r:id="rId77"/>
    <hyperlink ref="U38" r:id="rId78"/>
    <hyperlink ref="R39" r:id="rId79"/>
    <hyperlink ref="T39" r:id="rId80"/>
    <hyperlink ref="U39" r:id="rId81"/>
    <hyperlink ref="T40" r:id="rId82"/>
    <hyperlink ref="U40" r:id="rId83"/>
    <hyperlink ref="T41" r:id="rId84"/>
    <hyperlink ref="R42" r:id="rId85"/>
    <hyperlink ref="S42" r:id="rId86"/>
    <hyperlink ref="T42" r:id="rId87"/>
    <hyperlink ref="S43" r:id="rId88"/>
    <hyperlink ref="T43" r:id="rId89"/>
    <hyperlink ref="T44" r:id="rId90"/>
    <hyperlink ref="T45" r:id="rId91"/>
    <hyperlink ref="S46" r:id="rId92"/>
    <hyperlink ref="T46" r:id="rId93"/>
    <hyperlink ref="U46" r:id="rId94"/>
    <hyperlink ref="S47" r:id="rId95"/>
    <hyperlink ref="T47" r:id="rId96"/>
    <hyperlink ref="R48" r:id="rId97"/>
    <hyperlink ref="S48" r:id="rId98"/>
    <hyperlink ref="T48" r:id="rId99"/>
    <hyperlink ref="R49" r:id="rId100"/>
    <hyperlink ref="S49" r:id="rId101"/>
    <hyperlink ref="T49" r:id="rId102"/>
    <hyperlink ref="R50" r:id="rId103"/>
    <hyperlink ref="S50" r:id="rId104"/>
    <hyperlink ref="T50" r:id="rId105"/>
    <hyperlink ref="R51" r:id="rId106"/>
    <hyperlink ref="T51" r:id="rId107"/>
    <hyperlink ref="R52" r:id="rId108"/>
    <hyperlink ref="R53" r:id="rId109"/>
    <hyperlink ref="S53" r:id="rId110"/>
    <hyperlink ref="T53" r:id="rId111"/>
    <hyperlink ref="R54" r:id="rId112"/>
    <hyperlink ref="R55" r:id="rId113"/>
    <hyperlink ref="R56" r:id="rId114"/>
    <hyperlink ref="S56" r:id="rId115"/>
    <hyperlink ref="R57" r:id="rId116"/>
    <hyperlink ref="S57" r:id="rId117"/>
    <hyperlink ref="R58" r:id="rId118"/>
    <hyperlink ref="R59" r:id="rId119"/>
    <hyperlink ref="R60" r:id="rId120"/>
    <hyperlink ref="R61" r:id="rId121"/>
    <hyperlink ref="S62" r:id="rId122"/>
    <hyperlink ref="R63" r:id="rId123"/>
    <hyperlink ref="S63" r:id="rId124"/>
    <hyperlink ref="R64" r:id="rId125"/>
    <hyperlink ref="S64" r:id="rId126"/>
    <hyperlink ref="R65" r:id="rId127"/>
    <hyperlink ref="R66" r:id="rId128"/>
    <hyperlink ref="R67" r:id="rId129"/>
    <hyperlink ref="S67" r:id="rId130"/>
    <hyperlink ref="T67" r:id="rId131"/>
    <hyperlink ref="R68" r:id="rId132"/>
    <hyperlink ref="S68" r:id="rId133"/>
    <hyperlink ref="T68" r:id="rId134"/>
    <hyperlink ref="R69" r:id="rId135"/>
    <hyperlink ref="R70" r:id="rId136"/>
    <hyperlink ref="R71" r:id="rId137"/>
    <hyperlink ref="S71" r:id="rId138"/>
    <hyperlink ref="T71" r:id="rId139"/>
    <hyperlink ref="R72" r:id="rId140"/>
    <hyperlink ref="S72" r:id="rId141"/>
    <hyperlink ref="R73" r:id="rId142"/>
    <hyperlink ref="R74" r:id="rId143"/>
    <hyperlink ref="S74" r:id="rId144"/>
    <hyperlink ref="T74" r:id="rId145"/>
    <hyperlink ref="R75" r:id="rId146"/>
    <hyperlink ref="S75" r:id="rId147"/>
    <hyperlink ref="T75" r:id="rId148"/>
    <hyperlink ref="R76" r:id="rId149"/>
    <hyperlink ref="S76" r:id="rId150"/>
    <hyperlink ref="T76" r:id="rId151"/>
    <hyperlink ref="R77" r:id="rId152"/>
    <hyperlink ref="S77" r:id="rId153"/>
    <hyperlink ref="T77" r:id="rId154"/>
    <hyperlink ref="R78" r:id="rId155"/>
    <hyperlink ref="S78" r:id="rId156"/>
    <hyperlink ref="T78" r:id="rId157"/>
    <hyperlink ref="R79" r:id="rId158"/>
    <hyperlink ref="S79" r:id="rId159"/>
    <hyperlink ref="T79" r:id="rId160"/>
    <hyperlink ref="R80" r:id="rId161"/>
    <hyperlink ref="S80" r:id="rId162"/>
    <hyperlink ref="T80" r:id="rId163"/>
    <hyperlink ref="R81" r:id="rId164"/>
    <hyperlink ref="S81" r:id="rId165"/>
    <hyperlink ref="R82" r:id="rId166"/>
    <hyperlink ref="S82" r:id="rId167"/>
    <hyperlink ref="R83" r:id="rId168"/>
    <hyperlink ref="S83" r:id="rId169"/>
    <hyperlink ref="R84" r:id="rId170"/>
    <hyperlink ref="S84" r:id="rId171"/>
    <hyperlink ref="R85" r:id="rId172"/>
    <hyperlink ref="S85" r:id="rId173"/>
    <hyperlink ref="R86" r:id="rId174"/>
    <hyperlink ref="S86" r:id="rId175"/>
    <hyperlink ref="R87" r:id="rId176"/>
    <hyperlink ref="T87" r:id="rId177"/>
    <hyperlink ref="R88" r:id="rId178"/>
    <hyperlink ref="S88" r:id="rId179"/>
    <hyperlink ref="T88" r:id="rId180"/>
    <hyperlink ref="T89" r:id="rId181"/>
    <hyperlink ref="AB89" r:id="rId182"/>
    <hyperlink ref="R90" r:id="rId183"/>
    <hyperlink ref="S90" r:id="rId184"/>
    <hyperlink ref="R91" r:id="rId185"/>
    <hyperlink ref="S91" r:id="rId186"/>
    <hyperlink ref="R92" r:id="rId187"/>
    <hyperlink ref="R93" r:id="rId188"/>
    <hyperlink ref="R95" r:id="rId189"/>
    <hyperlink ref="R96" r:id="rId190"/>
    <hyperlink ref="R97" r:id="rId191"/>
    <hyperlink ref="R98" r:id="rId192"/>
    <hyperlink ref="R101" r:id="rId193"/>
    <hyperlink ref="S101" r:id="rId194"/>
    <hyperlink ref="AB101" r:id="rId195"/>
    <hyperlink ref="R103" r:id="rId196"/>
    <hyperlink ref="R104" r:id="rId197"/>
    <hyperlink ref="R105" r:id="rId198"/>
    <hyperlink ref="R106" r:id="rId199"/>
    <hyperlink ref="R107" r:id="rId200"/>
    <hyperlink ref="R108" r:id="rId201"/>
    <hyperlink ref="R109" r:id="rId202"/>
    <hyperlink ref="R110" r:id="rId203"/>
    <hyperlink ref="R111" r:id="rId204"/>
    <hyperlink ref="R112" r:id="rId205"/>
    <hyperlink ref="R113" r:id="rId206"/>
    <hyperlink ref="R114" r:id="rId207"/>
    <hyperlink ref="R115" r:id="rId20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2026-03-18T07:35:12Z</dcterms:modified>
</cp:coreProperties>
</file>