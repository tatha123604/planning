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W162" i="1"/>
  <c r="W161"/>
  <c r="V161"/>
  <c r="W160"/>
  <c r="V160"/>
  <c r="W158"/>
  <c r="V157"/>
  <c r="W156"/>
  <c r="V156"/>
  <c r="W155"/>
  <c r="V155"/>
  <c r="W154"/>
  <c r="W153"/>
  <c r="W152"/>
  <c r="V151"/>
  <c r="V150"/>
  <c r="W148"/>
  <c r="V148"/>
  <c r="W147"/>
  <c r="V147"/>
  <c r="W146"/>
  <c r="V146"/>
  <c r="W145"/>
  <c r="V145"/>
  <c r="W144"/>
  <c r="V144"/>
  <c r="W143"/>
  <c r="V143"/>
  <c r="W142"/>
  <c r="V142"/>
  <c r="W141"/>
  <c r="V141"/>
  <c r="W140"/>
  <c r="V140"/>
  <c r="W139"/>
  <c r="V139"/>
  <c r="W138"/>
  <c r="V138"/>
  <c r="W137"/>
  <c r="V137"/>
  <c r="W136"/>
  <c r="V136"/>
  <c r="W135"/>
  <c r="V135"/>
  <c r="V134"/>
  <c r="V133"/>
  <c r="V132"/>
  <c r="W131"/>
  <c r="V131"/>
  <c r="W130"/>
  <c r="V130"/>
  <c r="W129"/>
  <c r="V129"/>
  <c r="V128"/>
  <c r="V127"/>
  <c r="V126"/>
  <c r="V125"/>
  <c r="V124"/>
  <c r="V123"/>
  <c r="V122"/>
  <c r="W121"/>
  <c r="V121"/>
  <c r="V120"/>
  <c r="V119"/>
  <c r="V118"/>
  <c r="V117"/>
  <c r="V116"/>
  <c r="W115"/>
  <c r="V115"/>
  <c r="V114"/>
  <c r="W113"/>
  <c r="V113"/>
  <c r="W112"/>
  <c r="V112"/>
  <c r="W111"/>
  <c r="V111"/>
  <c r="V110"/>
  <c r="W109"/>
  <c r="V109"/>
  <c r="W108"/>
  <c r="V108"/>
  <c r="V107"/>
  <c r="W106"/>
  <c r="V106"/>
  <c r="W105"/>
  <c r="V105"/>
  <c r="W104"/>
  <c r="V104"/>
  <c r="W103"/>
  <c r="V103"/>
  <c r="V102"/>
  <c r="W101"/>
  <c r="V101"/>
  <c r="W100"/>
  <c r="V100"/>
  <c r="W99"/>
  <c r="V99"/>
  <c r="V98"/>
  <c r="W97"/>
  <c r="V97"/>
  <c r="V96"/>
  <c r="W95"/>
  <c r="V95"/>
  <c r="W94"/>
  <c r="V94"/>
  <c r="W93"/>
  <c r="V93"/>
  <c r="V92"/>
  <c r="W91"/>
  <c r="V91"/>
  <c r="V90"/>
  <c r="W89"/>
  <c r="V89"/>
  <c r="W88"/>
  <c r="V88"/>
  <c r="V87"/>
  <c r="W86"/>
  <c r="V86"/>
  <c r="W85"/>
  <c r="V85"/>
  <c r="V84"/>
  <c r="W83"/>
  <c r="V83"/>
  <c r="W82"/>
  <c r="V82"/>
  <c r="W81"/>
  <c r="V81"/>
  <c r="W80"/>
  <c r="V80"/>
  <c r="W79"/>
  <c r="V79"/>
  <c r="W78"/>
  <c r="V78"/>
  <c r="W77"/>
  <c r="V77"/>
  <c r="W76"/>
  <c r="V76"/>
  <c r="W75"/>
  <c r="V75"/>
  <c r="W74"/>
  <c r="V74"/>
  <c r="W73"/>
  <c r="V73"/>
  <c r="W72"/>
  <c r="V72"/>
  <c r="W71"/>
  <c r="V71"/>
  <c r="V70"/>
  <c r="W69"/>
  <c r="V69"/>
  <c r="W68"/>
  <c r="V68"/>
  <c r="W67"/>
  <c r="V67"/>
  <c r="W66"/>
  <c r="V66"/>
  <c r="W65"/>
  <c r="V65"/>
  <c r="W64"/>
  <c r="V64"/>
  <c r="W63"/>
  <c r="V63"/>
  <c r="W62"/>
  <c r="V62"/>
  <c r="W61"/>
  <c r="V61"/>
  <c r="W60"/>
  <c r="V60"/>
  <c r="W59"/>
  <c r="V59"/>
  <c r="W58"/>
  <c r="V58"/>
  <c r="W57"/>
  <c r="V57"/>
  <c r="W56"/>
  <c r="V56"/>
  <c r="W55"/>
  <c r="V55"/>
  <c r="W54"/>
  <c r="V54"/>
  <c r="W53"/>
  <c r="V53"/>
  <c r="W52"/>
  <c r="V52"/>
  <c r="W51"/>
  <c r="V51"/>
  <c r="W50"/>
  <c r="V50"/>
  <c r="W49"/>
  <c r="V49"/>
  <c r="W48"/>
  <c r="V48"/>
  <c r="W47"/>
  <c r="V47"/>
  <c r="W46"/>
  <c r="V46"/>
  <c r="W45"/>
  <c r="V45"/>
  <c r="W44"/>
  <c r="V44"/>
  <c r="W43"/>
  <c r="V43"/>
  <c r="W42"/>
  <c r="V42"/>
  <c r="W41"/>
  <c r="V41"/>
  <c r="W40"/>
  <c r="V40"/>
  <c r="V39"/>
  <c r="W38"/>
  <c r="V38"/>
  <c r="W37"/>
  <c r="V37"/>
  <c r="W36"/>
  <c r="V36"/>
  <c r="W35"/>
  <c r="V35"/>
  <c r="W34"/>
  <c r="V34"/>
  <c r="W33"/>
  <c r="V33"/>
  <c r="W32"/>
  <c r="V32"/>
  <c r="W31"/>
  <c r="V31"/>
  <c r="W30"/>
  <c r="V30"/>
  <c r="W29"/>
  <c r="V29"/>
  <c r="W28"/>
  <c r="V28"/>
  <c r="W27"/>
  <c r="V27"/>
  <c r="W26"/>
  <c r="V26"/>
  <c r="W25"/>
  <c r="V25"/>
  <c r="W24"/>
  <c r="V24"/>
  <c r="W23"/>
  <c r="V23"/>
  <c r="W22"/>
  <c r="V22"/>
  <c r="W21"/>
  <c r="V21"/>
  <c r="W20"/>
  <c r="V20"/>
  <c r="W19"/>
  <c r="V19"/>
  <c r="W18"/>
  <c r="V18"/>
  <c r="W17"/>
  <c r="V17"/>
  <c r="W16"/>
  <c r="V16"/>
  <c r="W15"/>
  <c r="V15"/>
  <c r="W14"/>
  <c r="V14"/>
  <c r="W13"/>
  <c r="V13"/>
  <c r="W12"/>
  <c r="V12"/>
  <c r="W11"/>
  <c r="W10"/>
  <c r="V10"/>
  <c r="W9"/>
  <c r="V9"/>
  <c r="W8"/>
  <c r="V8"/>
  <c r="W7"/>
  <c r="V7"/>
  <c r="W6"/>
  <c r="V6"/>
  <c r="W5"/>
  <c r="V5"/>
  <c r="W4"/>
  <c r="V4"/>
  <c r="W3"/>
  <c r="V3"/>
  <c r="W2"/>
  <c r="V2"/>
  <c r="N2"/>
</calcChain>
</file>

<file path=xl/sharedStrings.xml><?xml version="1.0" encoding="utf-8"?>
<sst xmlns="http://schemas.openxmlformats.org/spreadsheetml/2006/main" count="1774" uniqueCount="832">
  <si>
    <t>SL</t>
  </si>
  <si>
    <t>Name</t>
  </si>
  <si>
    <t>Degn</t>
  </si>
  <si>
    <t>PF</t>
  </si>
  <si>
    <t>HRMS ID</t>
  </si>
  <si>
    <t>Gender</t>
  </si>
  <si>
    <t>Category</t>
  </si>
  <si>
    <t>Gradation</t>
  </si>
  <si>
    <t>mob</t>
  </si>
  <si>
    <t>WhatsApp</t>
  </si>
  <si>
    <t>LOBBY</t>
  </si>
  <si>
    <t>CLI</t>
  </si>
  <si>
    <t>DOB</t>
  </si>
  <si>
    <t>DOR</t>
  </si>
  <si>
    <t>PME DUE</t>
  </si>
  <si>
    <t>Technical Due</t>
  </si>
  <si>
    <t>Transportation Due</t>
  </si>
  <si>
    <t>Tr 10</t>
  </si>
  <si>
    <t>Tr 13</t>
  </si>
  <si>
    <t>Tr 11</t>
  </si>
  <si>
    <t>Tr12</t>
  </si>
  <si>
    <t>pf len</t>
  </si>
  <si>
    <t>ABHISHEK KUMAR/II</t>
  </si>
  <si>
    <t>MOTORMAN</t>
  </si>
  <si>
    <t>50205603018</t>
  </si>
  <si>
    <t>GLDPMX</t>
  </si>
  <si>
    <t>M</t>
  </si>
  <si>
    <t>UR</t>
  </si>
  <si>
    <t>B</t>
  </si>
  <si>
    <t>CC(R) SOUTH</t>
  </si>
  <si>
    <t>NALINI KHAN</t>
  </si>
  <si>
    <t>https://drive.google.com/file/d/1bvvGumy8TjNZUEHQcAMpZwdcEExZVT4S/view?usp=sharing</t>
  </si>
  <si>
    <t>ALOK KUMAR SINGH</t>
  </si>
  <si>
    <t>50205602567</t>
  </si>
  <si>
    <t>OTTWMH</t>
  </si>
  <si>
    <t>A</t>
  </si>
  <si>
    <t>https://drive.google.com/file/d/1LTfhzOifTRCXrIYickfYeYBESSGipmVv/view?usp=sharing</t>
  </si>
  <si>
    <t>https://drive.google.com/file/d/1gWqPvExBiLPUyxKt5MIS8cNd7Dfm0Q2P/view?usp=sharing</t>
  </si>
  <si>
    <t>AMIT RAJ</t>
  </si>
  <si>
    <t>50205602439</t>
  </si>
  <si>
    <t>RGHTUC</t>
  </si>
  <si>
    <t>SWAPAN KUMAR MONDAL</t>
  </si>
  <si>
    <t>https://drive.google.com/file/d/1c8QeI0GOpgl5cRXG2cdGPV8ajblO_J2S/view?usp=sharing</t>
  </si>
  <si>
    <t>https://drive.google.com/file/d/1Jx7FSuegnOiNb25DpGiDeYJ8Qw_BKmFQ/view?usp=sharing</t>
  </si>
  <si>
    <t>AMREN BAGE</t>
  </si>
  <si>
    <t>50205421019</t>
  </si>
  <si>
    <t>EZHCRO</t>
  </si>
  <si>
    <t>ST</t>
  </si>
  <si>
    <t>https://drive.google.com/file/d/1FdEOECLLw489lDRNvuD6HuZBwEtKkP-T/view?usp=sharing</t>
  </si>
  <si>
    <t>AMRENDRAKUMAR</t>
  </si>
  <si>
    <t>50205569151</t>
  </si>
  <si>
    <t>KGUQOR</t>
  </si>
  <si>
    <t>SHIVA SANKAR MONDAL</t>
  </si>
  <si>
    <t>https://drive.google.com/file/d/1i2NEl5FCJiO6CoxsABIAo72V-0WKbsMj/view?usp=sharing</t>
  </si>
  <si>
    <t>ANIL KUMAR II</t>
  </si>
  <si>
    <t>50205562715</t>
  </si>
  <si>
    <t>XSSZLP</t>
  </si>
  <si>
    <t>https://drive.google.com/file/d/1G3uO7Tzneae0r2VNjdEdmECRlTQ61eL5/view?usp=sharing</t>
  </si>
  <si>
    <t>https://drive.google.com/file/d/1PfIspsbWMwT06-qZOuHcTQ8VLSAUEugs/view?usp=sharing</t>
  </si>
  <si>
    <t>ANKESH KUMAR</t>
  </si>
  <si>
    <t>50205602713</t>
  </si>
  <si>
    <t>JGOBAU</t>
  </si>
  <si>
    <t>KALYAN DAS</t>
  </si>
  <si>
    <t>https://drive.google.com/file/d/1LnNxJt3RPrEems1OtsW0f2pzIlngi6_p/view?usp=sharing</t>
  </si>
  <si>
    <t>ANUPAM PAHARI</t>
  </si>
  <si>
    <t>50205607530</t>
  </si>
  <si>
    <t>EAMMGM</t>
  </si>
  <si>
    <t>https://drive.google.com/file/d/1uDDSJotyiHD5aJpwKBnhH1WcFHy8KepI/view?usp=sharing</t>
  </si>
  <si>
    <t>https://drive.google.com/file/d/11JpnRC61ADorSLwMU-kso_Xl6LN4j8f-/view?usp=sharing</t>
  </si>
  <si>
    <t>https://drive.google.com/file/d/1jdZu-zhEQSIzfMYaKfP-NzuS0a0ChhJJ/view?usp=sharing</t>
  </si>
  <si>
    <t>https://drive.google.com/file/d/1XDCGtFxFPBO7_ocwHobgX_Rb6DglTPGn/view?usp=sharing</t>
  </si>
  <si>
    <t>ASHIM KUMAR DEB</t>
  </si>
  <si>
    <t>50205522687</t>
  </si>
  <si>
    <t>BCJAQX</t>
  </si>
  <si>
    <t>https://drive.google.com/file/d/1RQcdbrIrWsgrUWLXV6CkshEdzL-TdHQr/view?usp=sharing</t>
  </si>
  <si>
    <t>https://drive.google.com/file/d/1vlRr0b6ekUvIJwtYLlpHbnL_5n62yScr/view?usp=sharing</t>
  </si>
  <si>
    <t>Ashutosh Tripathy</t>
  </si>
  <si>
    <t>50205520988</t>
  </si>
  <si>
    <t>QPGLAJ</t>
  </si>
  <si>
    <t>SUSOVAN KAR</t>
  </si>
  <si>
    <t>https://drive.google.com/file/d/1GN-vjBHt-ZPJs3yN1CgiT630gsAMElGb/view?usp=sharing</t>
  </si>
  <si>
    <t>ATANU KARMAKAR</t>
  </si>
  <si>
    <t>50209406451</t>
  </si>
  <si>
    <t>WRPFDD</t>
  </si>
  <si>
    <t>https://drive.google.com/file/d/1m7aKkrz5EqyfkUoxQnHh8DQ8AsPpWwM5/view?usp=sharing</t>
  </si>
  <si>
    <t>https://drive.google.com/file/d/1K9jnJQbXc48HQUzEz85TYnVxSU2ld3Pd/view?usp=sharing</t>
  </si>
  <si>
    <t>AVIJIT PANDIT</t>
  </si>
  <si>
    <t>50205607681</t>
  </si>
  <si>
    <t>SKIYQL</t>
  </si>
  <si>
    <t>SC</t>
  </si>
  <si>
    <t>MAHADEO MANJHI</t>
  </si>
  <si>
    <t>Working at MJT.</t>
  </si>
  <si>
    <t>https://drive.google.com/file/d/1yjxJThCuQZgOWfbD4CvRZohFUDY9d1Nb/view?usp=sharing</t>
  </si>
  <si>
    <t>https://drive.google.com/file/d/1cJSsYclm2EvZmI-9bPMl9Qypj8EKccsi/view?usp=sharing</t>
  </si>
  <si>
    <t>BHABANANDA RABIDAS</t>
  </si>
  <si>
    <t>50205407229</t>
  </si>
  <si>
    <t>MIGHEN</t>
  </si>
  <si>
    <t>A T KHAN</t>
  </si>
  <si>
    <t>https://drive.google.com/file/d/1YnKq-SvPhWwTuZ08ze0F1p7J2DEMJ_XJ/view?usp=sharing</t>
  </si>
  <si>
    <t>BHASKAR MANNA</t>
  </si>
  <si>
    <t>50205607395</t>
  </si>
  <si>
    <t>OOYAYO</t>
  </si>
  <si>
    <t>https://drive.google.com/file/d/1GcBe0Km5PBz5p0vyk0KBAhKF1n5RtR2-/view?usp=sharing</t>
  </si>
  <si>
    <t>https://drive.google.com/file/d/1yjLHsaakw00gXbmh2pIosgZk6KxHU1yO/view?usp=sharing</t>
  </si>
  <si>
    <t>BIDESH KULEY..</t>
  </si>
  <si>
    <t>50205421100</t>
  </si>
  <si>
    <t>BHQIBE</t>
  </si>
  <si>
    <t>https://drive.google.com/file/d/1YUIGPAp6CZpGWSxTdBkyVi8pXVTg7Ddx/view?usp=sharing</t>
  </si>
  <si>
    <t>BISWAJIT TIGGI</t>
  </si>
  <si>
    <t>50205522481</t>
  </si>
  <si>
    <t>YCGFQZ</t>
  </si>
  <si>
    <t>https://drive.google.com/file/d/1wbga2o1PRDf8f3akqEtwbWhMiJeeKoZ1/view?usp=sharing</t>
  </si>
  <si>
    <t>BRAHMANAND YADAV</t>
  </si>
  <si>
    <t>50205563999</t>
  </si>
  <si>
    <t>JXSGJO</t>
  </si>
  <si>
    <t>S S MUNDA</t>
  </si>
  <si>
    <t>https://drive.google.com/file/d/1WIQtRw6HJtVLoeYuF1Ys95VsJoO1N-bq/view?usp=sharing</t>
  </si>
  <si>
    <t>CHANDAN KUMAR I</t>
  </si>
  <si>
    <t>50205607899</t>
  </si>
  <si>
    <t>CMXLQQ</t>
  </si>
  <si>
    <t>https://drive.google.com/file/d/1CYsBzWwj_jaEQSDH5c7oVZCCddPjBsTP/view?usp=sharing</t>
  </si>
  <si>
    <t>https://drive.google.com/file/d/19F6Ie-cpd27HH7lCcCl-0TowLTyGkcGa/view?usp=share_link</t>
  </si>
  <si>
    <t>CHHOTU KUMAR</t>
  </si>
  <si>
    <t>50205607991</t>
  </si>
  <si>
    <t>CMSRNJ</t>
  </si>
  <si>
    <t>https://drive.google.com/file/d/1jS11rAha2S2BJC8fGNNsHu9Qp4nE7WNx/view?usp=sharing</t>
  </si>
  <si>
    <t>CHITRANJAN KUMAR</t>
  </si>
  <si>
    <t>50205602440</t>
  </si>
  <si>
    <t>HFCBUU</t>
  </si>
  <si>
    <t>https://drive.google.com/file/d/1lI7DBYkltdZJbm_wBcUbpqqrUymnW0eR/view?usp=sharing</t>
  </si>
  <si>
    <t>DIPAK KUMAR NAYAK</t>
  </si>
  <si>
    <t>50205607140</t>
  </si>
  <si>
    <t>MCXBPI</t>
  </si>
  <si>
    <t>https://drive.google.com/file/d/1W2xJfVDvSNKBquYzL39dj9vxigtodDV8/view?usp=sharing</t>
  </si>
  <si>
    <t>https://drive.google.com/file/d/1CjoxSMZdaztRiPo9XSCKbgfHQ8XVv3KQ/view?usp=sharing</t>
  </si>
  <si>
    <t>GHANSHYAM KUMAR</t>
  </si>
  <si>
    <t>50205607309</t>
  </si>
  <si>
    <t>KEIWHH</t>
  </si>
  <si>
    <t>https://drive.google.com/file/d/1FV518ORW2gcnv-Jp9UQhNUFtvczx_g5a/view?usp=sharing</t>
  </si>
  <si>
    <t>https://drive.google.com/file/d/1ZuUCuS9LCZz0iRBrW0eEjJqQU2k00cdv/view?usp=sharing</t>
  </si>
  <si>
    <t>GOUTAM PYNE..</t>
  </si>
  <si>
    <t>50205335000</t>
  </si>
  <si>
    <t>XJUFIF</t>
  </si>
  <si>
    <t>https://drive.google.com/file/d/1_RWemRR_pdonrkshMk1ltcxGgvX02Ow5/view?usp=sharing</t>
  </si>
  <si>
    <t>HERI CHARLS KISKU</t>
  </si>
  <si>
    <t>50205420957</t>
  </si>
  <si>
    <t>OQFEJS</t>
  </si>
  <si>
    <t>https://drive.google.com/file/d/1xidpAyD5rHAV_gm0ApBkL5dbrxe6cLcj/view?usp=sharing</t>
  </si>
  <si>
    <t>https://drive.google.com/file/d/1lDRBWLekq-BLxJQaJJzcjTAh9w1nqZpS/view?usp=share_link</t>
  </si>
  <si>
    <t>HEMANTA KUMAR GAYEN</t>
  </si>
  <si>
    <t>50205355266</t>
  </si>
  <si>
    <t>UUWEOJ</t>
  </si>
  <si>
    <t>https://drive.google.com/file/d/1eAi-C1IfaWRUCZmBs-Al_0HkCbNIMzL3/view?usp=sharing</t>
  </si>
  <si>
    <t>JAYNTA KUMAR DAS..</t>
  </si>
  <si>
    <t>50205419244</t>
  </si>
  <si>
    <t>MCJPDM</t>
  </si>
  <si>
    <t>https://drive.google.com/file/d/1Msw3AA05kRhaGAoG6YnAAkNwZwE7ZGjP/view?usp=sharing</t>
  </si>
  <si>
    <t>https://drive.google.com/file/d/1bt6fDQoAv92vpDX-xNUHG0aM2ar3gKcE/view?usp=share_link</t>
  </si>
  <si>
    <t>JISHNU NANDI</t>
  </si>
  <si>
    <t>50205419190</t>
  </si>
  <si>
    <t>ICINEO</t>
  </si>
  <si>
    <t>https://drive.google.com/file/d/1MP4TiAPm-HuddP2HzWdicnCzB904MyqO/view?usp=sharing</t>
  </si>
  <si>
    <t>JOSEPH LAKRA</t>
  </si>
  <si>
    <t>50205420969</t>
  </si>
  <si>
    <t>ZPZDGF</t>
  </si>
  <si>
    <t>https://drive.google.com/file/d/11yY3hm8BqcnE0MA8mX3DUYK9KsdRDLEk/view?usp=sharing</t>
  </si>
  <si>
    <t>KAUSHIK GHOSH</t>
  </si>
  <si>
    <t>50205522640</t>
  </si>
  <si>
    <t>OCCQWR</t>
  </si>
  <si>
    <t>https://drive.google.com/file/d/1gc_yeexaTW6IytdTERy_0n7jaHj5PxaU/view?usp=sharing</t>
  </si>
  <si>
    <t>https://drive.google.com/file/d/1SHwwn_lUoz8tSKlEev06AvHuI3sMX_zX/view?usp=sharing</t>
  </si>
  <si>
    <t>KRISHNENDU PARUI</t>
  </si>
  <si>
    <t>50205607383</t>
  </si>
  <si>
    <t>LZMRXS</t>
  </si>
  <si>
    <t>https://drive.google.com/file/d/1_H6C1wEKnN7vmmqNfE7D837eMRKg8STl/view?usp=sharing</t>
  </si>
  <si>
    <t>https://drive.google.com/file/d/1X10M8I0AF-4WKyC03lHlQr2mTUgbVNQB/view?usp=sharing</t>
  </si>
  <si>
    <t>KRISHNENDU SARKAR</t>
  </si>
  <si>
    <t>50205419311</t>
  </si>
  <si>
    <t>MMCTJG</t>
  </si>
  <si>
    <t>https://drive.google.com/file/d/1qNV74qOBKSH6AHqM4usHxMxWFbBovZhQ/view?usp=sharing</t>
  </si>
  <si>
    <t>https://drive.google.com/file/d/1aDNwf3xOlbxt6xcj-F6aKSWGRYIM-NDi/view?usp=share_link</t>
  </si>
  <si>
    <t>KUNDAN KUMAR</t>
  </si>
  <si>
    <t>50205607267</t>
  </si>
  <si>
    <t>BZDIQK</t>
  </si>
  <si>
    <t>https://drive.google.com/file/d/1dA0epGGWB36LVXiCBZeqLUomYEdcROu3/view?usp=sharing</t>
  </si>
  <si>
    <t>https://drive.google.com/file/d/1Q8fDVS6vFOtqrKbx-8GdmewNTw04t_zh/view?usp=sharing</t>
  </si>
  <si>
    <t>LOKESH KUMAR</t>
  </si>
  <si>
    <t>50205607930</t>
  </si>
  <si>
    <t>XAXJEK</t>
  </si>
  <si>
    <t>https://drive.google.com/file/d/1bGfQaJVBazIOnIbTMF4iaRNJNKe_vyfJ/view?usp=sharing</t>
  </si>
  <si>
    <t>https://drive.google.com/file/d/1uW2bvZfIHuAZustiLkVLdEOWivbp6DZA/view?usp=sharing</t>
  </si>
  <si>
    <t>MUNMUN KUMAR PANDEY</t>
  </si>
  <si>
    <t>50205607905</t>
  </si>
  <si>
    <t>CWWEMO</t>
  </si>
  <si>
    <t>https://drive.google.com/file/d/1-yiNPYnizT0z691T_S7RbC1r1MpxNSin/view?usp=sharing</t>
  </si>
  <si>
    <t>MUSTAK AHAMED MOLLA</t>
  </si>
  <si>
    <t>50207352529</t>
  </si>
  <si>
    <t>KGIIKB</t>
  </si>
  <si>
    <t>R K SABHERWAL</t>
  </si>
  <si>
    <t>https://drive.google.com/file/d/17LWm--xoJYwz47MBFdZ7tYTd-ewut3EC/view?usp=sharing</t>
  </si>
  <si>
    <t>https://drive.google.com/file/d/1jDONqJiwE0VVquk7vNf39h9emm2bisxW/view?usp=drive_link</t>
  </si>
  <si>
    <t>OM PRAKASH UPADHYAY</t>
  </si>
  <si>
    <t>50205521038</t>
  </si>
  <si>
    <t>HJWFLJ</t>
  </si>
  <si>
    <t>https://drive.google.com/file/d/1Sityyyt9_dUUslwE0c3cxl_rcBFhVang/view?usp=sharing</t>
  </si>
  <si>
    <t>https://drive.google.com/file/d/1qhv8ZXgmBEBpoOtrXUDOpXb0ruYZF5Wx/view?usp=sharing</t>
  </si>
  <si>
    <t>PAPAI MONDAL</t>
  </si>
  <si>
    <t>50205607220</t>
  </si>
  <si>
    <t>UEJBIL</t>
  </si>
  <si>
    <t>https://drive.google.com/file/d/13axnxxy9EeIP5g_gQWds-Faro0zO6h8x/view?usp=sharing</t>
  </si>
  <si>
    <t>PRASUN SINGHA</t>
  </si>
  <si>
    <t>50200162553</t>
  </si>
  <si>
    <t>YBBNJS</t>
  </si>
  <si>
    <t>https://drive.google.com/file/d/1cDaDsCthKRlbnbcxNYJ3IxRv-6235aNz/view?usp=sharing</t>
  </si>
  <si>
    <t>https://drive.google.com/file/d/1YrwHkBXHMGTj5Wsnb9Qmfdvnrc4UwRqU/view?usp=sharing</t>
  </si>
  <si>
    <t>PRAVEEN KUMAR</t>
  </si>
  <si>
    <t>50205606895</t>
  </si>
  <si>
    <t>DWFLSE</t>
  </si>
  <si>
    <t>https://drive.google.com/file/d/1-7tBf6gcxlQwSB8mXEgU487z4MWXczjS/view?usp=sharing</t>
  </si>
  <si>
    <t>https://drive.google.com/file/d/1KNihjZY6Jlist8yNljWGgMEb-xzhUFOU/view?usp=sharing</t>
  </si>
  <si>
    <t>PRODIP PAUL</t>
  </si>
  <si>
    <t>50205607292</t>
  </si>
  <si>
    <t>LSUOTJ</t>
  </si>
  <si>
    <t>https://drive.google.com/file/d/1PfxMS5-pI2w4x8Ppqe1RZoaqgxLxFf8W/view?usp=sharing</t>
  </si>
  <si>
    <t>https://drive.google.com/file/d/16tBwlk5FuTqPVmxiYYGVIMqwi-WyEKE0/view?usp=sharing</t>
  </si>
  <si>
    <t>PURENDU UPLA</t>
  </si>
  <si>
    <t>50205569217</t>
  </si>
  <si>
    <t>SYZDSR</t>
  </si>
  <si>
    <t>https://drive.google.com/file/d/1x1uM6VxHc05cQn2tNKlOq9Tgmkm2T6jW/view?usp=sharing</t>
  </si>
  <si>
    <t>https://drive.google.com/file/d/1HIAcgqXpqvGx5UKkURDMyPgPApT1lBWu/view?usp=sharing</t>
  </si>
  <si>
    <t>RAJEEV KUMAR</t>
  </si>
  <si>
    <t>502N0007611</t>
  </si>
  <si>
    <t>IPLWHN</t>
  </si>
  <si>
    <t>https://drive.google.com/file/d/1Och12zHKOpQWPIH5EyMp57uWSaMl2hzi/view?usp=sharing</t>
  </si>
  <si>
    <t>https://drive.google.com/file/d/1kloWkr2akUeqsdZfTbWsSU4Jwzao15yl/view?usp=sharing</t>
  </si>
  <si>
    <t>RAJESH KUMAR PANDEY</t>
  </si>
  <si>
    <t>50205521002</t>
  </si>
  <si>
    <t>XTIHKF</t>
  </si>
  <si>
    <t>UTPAL HALDER</t>
  </si>
  <si>
    <t>https://drive.google.com/file/d/1WivhTRX8k92HboWqoXrcBm_8xeY-JczG/view?usp=sharing</t>
  </si>
  <si>
    <t>https://drive.google.com/file/d/1z1kUtNmCvJWrBprHJ1V-oLj4WNIVHwq5/view?usp=sharing</t>
  </si>
  <si>
    <t>RAJESH KUMAR V</t>
  </si>
  <si>
    <t>50205607310</t>
  </si>
  <si>
    <t>PIBRNI</t>
  </si>
  <si>
    <t>https://drive.google.com/file/d/1Gy0wqmRkaNArmw0MJAJRtFcaC_5EqaAw/view?usp=sharing</t>
  </si>
  <si>
    <t>https://drive.google.com/file/d/1hZsHcG1PCDoEGdiiQlBpznVtSiztKj1F/view?usp=sharing</t>
  </si>
  <si>
    <t>RAJU HALDER</t>
  </si>
  <si>
    <t>50200101400</t>
  </si>
  <si>
    <t>NAAZTU</t>
  </si>
  <si>
    <t>B M KALUNDIA</t>
  </si>
  <si>
    <t>https://drive.google.com/file/d/1vnfnP_S6UykwUk9j6BCF4ipVNTMcqrPs/view?usp=sharing</t>
  </si>
  <si>
    <t>https://drive.google.com/file/d/1dCPPNIKivVXQQYQwjlcg0a2RxLwdM5dm/view?usp=sharing</t>
  </si>
  <si>
    <t>RAJU MONDAL</t>
  </si>
  <si>
    <t>50205607188</t>
  </si>
  <si>
    <t>KPEZGP</t>
  </si>
  <si>
    <t>https://drive.google.com/file/d/1jOkn5r6huCGcjsWwChQ7Fohgd-HYtIbU/view?usp=sharing</t>
  </si>
  <si>
    <t>https://drive.google.com/file/d/1EBgHfU_taC3ecSLHeV8DDMGxmm0Jfv1_/view?usp=sharing</t>
  </si>
  <si>
    <t>RAMJANAM CHAUHAN</t>
  </si>
  <si>
    <t>50205562703</t>
  </si>
  <si>
    <t>REHJDU</t>
  </si>
  <si>
    <t>https://drive.google.com/file/d/1yg73qu-BPtyjZJtG4bYRjzLBpPR4KT4J/view?usp=sharing</t>
  </si>
  <si>
    <t>RANDHIR KUMAR</t>
  </si>
  <si>
    <t>502NP004071</t>
  </si>
  <si>
    <t>EDFSSK</t>
  </si>
  <si>
    <t>https://drive.google.com/file/d/1M3rxaRB_LsvqDdhYxnZITvGFxefGmhLB/view?usp=sharing</t>
  </si>
  <si>
    <t>https://drive.google.com/file/d/103oq1G6u12SbusZUnPVGNrZ3Q1E0up_A/view?usp=sharing</t>
  </si>
  <si>
    <t>RAVI SHANKER ORAON</t>
  </si>
  <si>
    <t>50205420878</t>
  </si>
  <si>
    <t>ARWWZK</t>
  </si>
  <si>
    <t>https://drive.google.com/file/d/1EBJwx78nzA8nkn-OOuD55JWPij-EZMrK/view?usp=sharing</t>
  </si>
  <si>
    <t>SACHIN KUMAR</t>
  </si>
  <si>
    <t>50205607322</t>
  </si>
  <si>
    <t>EUQJZI</t>
  </si>
  <si>
    <t>BIBHAS SARKAR</t>
  </si>
  <si>
    <t>https://drive.google.com/file/d/1fPRhn-Fzdj639GidgoMV59tr1l8_YAld/view?usp=sharing</t>
  </si>
  <si>
    <t>https://drive.google.com/file/d/12dSMdQtC49Ay9PZp0reV1rRcbTiqUH9T/view?usp=sharing</t>
  </si>
  <si>
    <t>SANTANU DAS</t>
  </si>
  <si>
    <t>50205606925</t>
  </si>
  <si>
    <t>CYPRER</t>
  </si>
  <si>
    <t>https://drive.google.com/file/d/1XAV1viewKoCHkrmVHqL-l1vMCfSh-hJC/view?usp=sharing</t>
  </si>
  <si>
    <t>https://drive.google.com/file/d/1NfQCEZD8iCCY0bCoKI4AoqVC1q3CdwcB/view?usp=sharing</t>
  </si>
  <si>
    <t>SARAD KUMAR</t>
  </si>
  <si>
    <t>50205520447</t>
  </si>
  <si>
    <t>HWGPPX</t>
  </si>
  <si>
    <t>https://drive.google.com/file/d/1ILfh0QWOmy69yaMBwssRB7EjiLLhlsOr/view?usp=sharing</t>
  </si>
  <si>
    <t>SATISH KUMAR</t>
  </si>
  <si>
    <t>50205602506</t>
  </si>
  <si>
    <t>MNIISD</t>
  </si>
  <si>
    <t>https://drive.google.com/file/d/1NLXpkF2o4aXbK1gIHsRbKUQRTRTy13xu/view?usp=sharing</t>
  </si>
  <si>
    <t>SATYAJIT SAREN</t>
  </si>
  <si>
    <t>50205513431</t>
  </si>
  <si>
    <t>KLTJBW</t>
  </si>
  <si>
    <t>https://drive.google.com/file/d/1dCjfIyotkI6DF0XLHQ6g-6Z600Uv-OGv/view?usp=sharing</t>
  </si>
  <si>
    <t>SATYENDRA KUMAR</t>
  </si>
  <si>
    <t>50205607917</t>
  </si>
  <si>
    <t>APWPQM</t>
  </si>
  <si>
    <t>https://drive.google.com/file/d/1WyXN8iMm9z6MiPbO9PS6F6i_DbYcgvYu/view?usp=sharing</t>
  </si>
  <si>
    <t>https://drive.google.com/file/d/14NncRfKeN74pZUwPE_ZBFmty7doJnJNt/view?usp=sharing</t>
  </si>
  <si>
    <t>SHRIRAM MARDI</t>
  </si>
  <si>
    <t>50205420908</t>
  </si>
  <si>
    <t>RUIXGU</t>
  </si>
  <si>
    <t>https://drive.google.com/file/d/1Jvkig54ZmBEPP5SEZzFBVPDegcrC5qak/view?usp=sharing</t>
  </si>
  <si>
    <t>https://drive.google.com/file/d/14BD5Fm_EbQrOr0jMAW-i92rE-Kj4E-H6/view?usp=sharing</t>
  </si>
  <si>
    <t>SHYAMAL KUMAR DATTA</t>
  </si>
  <si>
    <t>50212110840</t>
  </si>
  <si>
    <t>UMQKBM</t>
  </si>
  <si>
    <t>https://drive.google.com/file/d/1r-4gMCatjOQdXVFT09OsVmJ_Skz0BQVg/view?usp=sharing</t>
  </si>
  <si>
    <t>https://drive.google.com/file/d/1F8FEdRE4kiW2n5RwprcKs2SIrJtYywTn/view?usp=sharing</t>
  </si>
  <si>
    <t>SITANGSU GOSWAMI</t>
  </si>
  <si>
    <t>50205373463</t>
  </si>
  <si>
    <t>IRBXNW</t>
  </si>
  <si>
    <t>https://drive.google.com/file/d/1iDyfIZGZJSfhSVV20tzvKriH6wCLVYfQ/view?usp=sharing</t>
  </si>
  <si>
    <t>SOMENDRA NATH PARH</t>
  </si>
  <si>
    <t>50205421070</t>
  </si>
  <si>
    <t>QWGJAX</t>
  </si>
  <si>
    <t>https://drive.google.com/file/d/1OWsk0z-fdVPqeKX4hNoiZemgRgFmTdje/view?usp=sharing</t>
  </si>
  <si>
    <t>SOURAV DAS</t>
  </si>
  <si>
    <t>50205607619</t>
  </si>
  <si>
    <t>LYHLWA</t>
  </si>
  <si>
    <t>https://drive.google.com/file/d/1xTkykJRYONegC3AO1JOPqKjvexuJTpWp/view?usp=sharing</t>
  </si>
  <si>
    <t>https://drive.google.com/file/d/1x_83BxR_60tgIHBGlKc79snNF8P_qspK/view?usp=sharing</t>
  </si>
  <si>
    <t>SUDAMA SAHANI</t>
  </si>
  <si>
    <t>50205559479</t>
  </si>
  <si>
    <t>YUZRWT</t>
  </si>
  <si>
    <t>https://drive.google.com/file/d/1RH4_XqnsPetIEdCCAcUVptjCLzS_SORp/view?usp=sharing</t>
  </si>
  <si>
    <t>https://drive.google.com/file/d/1iV6nCneVVFdXpN7B_h6GBDMQgHuy8XaF/view?usp=sharing</t>
  </si>
  <si>
    <t>SUJIT KUMAR DAS</t>
  </si>
  <si>
    <t>50205359788</t>
  </si>
  <si>
    <t>GCDEYW</t>
  </si>
  <si>
    <t>https://drive.google.com/file/d/1rlPC2Z3iL2lFH5jvX6U56MrHn-TIxL-z/view?usp=sharing</t>
  </si>
  <si>
    <t>https://drive.google.com/file/d/1vu74w_TxDrb76EOl-iUAAssrA-0NbYZ3/view?usp=sharing</t>
  </si>
  <si>
    <t>SUKHENDRA KUMAR</t>
  </si>
  <si>
    <t>50205569291</t>
  </si>
  <si>
    <t>QYYSDI</t>
  </si>
  <si>
    <t>https://drive.google.com/file/d/1f7reu0VtBheRB6MMm0toYHQr2DcOOp87/view?usp=sharing</t>
  </si>
  <si>
    <t>SUMAN KUMAR SUMAN</t>
  </si>
  <si>
    <t>50205569060</t>
  </si>
  <si>
    <t>EWWOQS</t>
  </si>
  <si>
    <t>https://drive.google.com/file/d/1fK7Avp-8BFCeIqnAidEgD2oa6bf2uyXn/view?usp=sharing</t>
  </si>
  <si>
    <t>https://drive.google.com/file/d/1rEwAr1SNxHRpznd4GwDVYb49hGuNpMUK/view?usp=sharing</t>
  </si>
  <si>
    <t>SWADESH RANJAN DAS</t>
  </si>
  <si>
    <t>50200065729</t>
  </si>
  <si>
    <t>MSZJSF</t>
  </si>
  <si>
    <t>https://drive.google.com/file/d/1f_DpxLTbLG2lBVl_vZpT5D8wXRS-fr9R/view?usp=sharing</t>
  </si>
  <si>
    <t>https://drive.google.com/file/d/1zq6xyIKSIEh2Gyh959U55_3WDW0d0hvO/view?usp=sharing</t>
  </si>
  <si>
    <t>SWADESH RANJAN MONDAL..</t>
  </si>
  <si>
    <t>50205419270</t>
  </si>
  <si>
    <t>ECDRAX</t>
  </si>
  <si>
    <t>https://drive.google.com/file/d/1LdOFN5tuaoTwzO_wiLQuGOHHxS-CQ2Jo/view?usp=sharing</t>
  </si>
  <si>
    <t>https://drive.google.com/file/d/12oSUboyCZ2h28qlYMnnvgnHS4fv85v2Q/view?usp=share_link</t>
  </si>
  <si>
    <t>TANMOY MONDAL</t>
  </si>
  <si>
    <t>50200099764</t>
  </si>
  <si>
    <t>FRSQUX</t>
  </si>
  <si>
    <t>https://drive.google.com/file/d/1388rSujIcfoVkRz5P48fY2JlLcMUSDWq/view?usp=sharing</t>
  </si>
  <si>
    <t>TAPAN KUMAR NASKAR</t>
  </si>
  <si>
    <t>50205419232</t>
  </si>
  <si>
    <t>OYYBIX</t>
  </si>
  <si>
    <t>https://drive.google.com/file/d/1KSOMrmPYND6Upeq_C7SDIO1o_UXbgS4Q/view?usp=sharing</t>
  </si>
  <si>
    <t>TAPAS MANDAL</t>
  </si>
  <si>
    <t>50200162504</t>
  </si>
  <si>
    <t>QCRWGO</t>
  </si>
  <si>
    <t>https://drive.google.com/file/d/1erFXu9JvkVICvAnOFmFH7DOtO2NxH_X3/view?usp=sharing</t>
  </si>
  <si>
    <t>VIR ABHIMANYU KUMAR</t>
  </si>
  <si>
    <t>50205562351</t>
  </si>
  <si>
    <t>RSPALG</t>
  </si>
  <si>
    <t>https://drive.google.com/file/d/1H4GPnwpaDlqqr38PswuKu-7w-TtCBsWC/view?usp=sharing</t>
  </si>
  <si>
    <t>https://drive.google.com/file/d/19o-EDJiDuUyvfSM69Z7MAmHcINiuaUTb/view?usp=sharing</t>
  </si>
  <si>
    <t>DURGA TUDU</t>
  </si>
  <si>
    <t>50205618691</t>
  </si>
  <si>
    <t>CTWKPZ</t>
  </si>
  <si>
    <t>https://drive.google.com/file/d/1PkH6Dzb0QHO-HsI6NekedM8rzpbUkm15/view?usp=sharing</t>
  </si>
  <si>
    <t>https://drive.google.com/file/d/108m5NZdK6sKCXlteeSDoT0VDXgiaSJ0F/view?usp=share_link</t>
  </si>
  <si>
    <t>MISS MONALISA KARMAKAR</t>
  </si>
  <si>
    <t>50205602970</t>
  </si>
  <si>
    <t>QHUAZY</t>
  </si>
  <si>
    <t>F</t>
  </si>
  <si>
    <t>https://drive.google.com/file/d/13V85-Tcf9LLFqy7UwiKFYDx18jUUGxO3/view?usp=sharing</t>
  </si>
  <si>
    <t>https://drive.google.com/file/d/1fdwimAsd0VKL5QBUEBMsugpKrhJe1vS_/view?usp=sharing</t>
  </si>
  <si>
    <t>https://drive.google.com/file/d/1zt8Kc8Fbg_Po5miMe-TTzMCyvjGHcSC7/view?usp=share_link</t>
  </si>
  <si>
    <t>MISS MOUMITA GHOSH</t>
  </si>
  <si>
    <t>50205606639</t>
  </si>
  <si>
    <t>KLFJOA</t>
  </si>
  <si>
    <t>https://drive.google.com/file/d/14Z-UwgUmSdVxtR2mSwyudfIDjbvc0Yga/view?usp=sharing</t>
  </si>
  <si>
    <t>https://drive.google.com/file/d/1oEr_VzKfQIOoDtjUiyImwX6VDWxaDAkX/view?usp=sharing</t>
  </si>
  <si>
    <t>https://drive.google.com/file/d/1-ND0-Yke6jSx-_CjWlXsZ3SxEfWL1Nnl/view?usp=share_link</t>
  </si>
  <si>
    <t>CHANDAN KUMAR II</t>
  </si>
  <si>
    <t>50205611970</t>
  </si>
  <si>
    <t>WBGNPC</t>
  </si>
  <si>
    <t>https://drive.google.com/file/d/1Ppun2QFtcTX42aHPkID-p7VhpoZJhu7P/view?usp=sharing</t>
  </si>
  <si>
    <t>https://drive.google.com/file/d/1GeX00EVv8gWlA7KudfKzn9nTK-cJpZ07/view?usp=sharing</t>
  </si>
  <si>
    <t>RADHEYSHYAM KUMAR</t>
  </si>
  <si>
    <t>50205611982</t>
  </si>
  <si>
    <t>SIOZBU</t>
  </si>
  <si>
    <t>https://drive.google.com/file/d/12whDymcLJsIZseWGqlpNmaSPD14XhDxC/view?usp=sharing</t>
  </si>
  <si>
    <t>https://drive.google.com/file/d/17t29qFy4LoAmPwApOdB7i9dgEk8ST9_s/view?usp=share_link</t>
  </si>
  <si>
    <t>SANDIP TIKADER</t>
  </si>
  <si>
    <t>50205612020</t>
  </si>
  <si>
    <t>KJFWHD</t>
  </si>
  <si>
    <t>https://drive.google.com/file/d/1YlW5FvK9WQoKYBGNvZtP4PNxIezF7lGS/view?usp=sharing</t>
  </si>
  <si>
    <t>https://drive.google.com/file/d/1NNWKvvQeRmJm4Jx-ZTrrr2jD8WDOB2fW/view?usp=share_link</t>
  </si>
  <si>
    <t>KUNAL DEY</t>
  </si>
  <si>
    <t>50205612056</t>
  </si>
  <si>
    <t>OZFJRH</t>
  </si>
  <si>
    <t>https://drive.google.com/file/d/14eRxXc7w3aAKdlBex3XxX0Ow9cuzFD39/view?usp=sharing</t>
  </si>
  <si>
    <t>https://drive.google.com/file/d/1gnJJuY4U4gepk-nU6_DUV5q5PecvhTzs/view?usp=share_link</t>
  </si>
  <si>
    <t>MAHADEO YADAV</t>
  </si>
  <si>
    <t>50205612070</t>
  </si>
  <si>
    <t>EBWDIJ</t>
  </si>
  <si>
    <t>https://drive.google.com/file/d/1ehIgpaBzk44LvHKQeBTF9ZXw3WSGwXm0/view?usp=sharing</t>
  </si>
  <si>
    <t>https://drive.google.com/file/d/1BFMpM_S3h7uUZFMl2bkVg8v7XG7h0XsA/view?usp=sharing</t>
  </si>
  <si>
    <t>https://drive.google.com/file/d/10z0jecVUhZOZFFkPKSX8F7IMLaLiZ70z/view?usp=sharing</t>
  </si>
  <si>
    <t>https://drive.google.com/file/d/1L3Y_VV_eEdBiyYDiB0gB6nxO4JO8fT_-/view?usp=share_link</t>
  </si>
  <si>
    <t>AMRESH KUMAR</t>
  </si>
  <si>
    <t>50205612081</t>
  </si>
  <si>
    <t>OMMLYF</t>
  </si>
  <si>
    <t>https://drive.google.com/file/d/1FOmBjevsldR3epx0yGK1lfQMyKy1xbhJ/view?usp=sharing</t>
  </si>
  <si>
    <t>https://drive.google.com/file/d/1gX3fUNfqiYW4gM-EDYcKeJwBrXK0w6pZ/view?usp=share_link</t>
  </si>
  <si>
    <t>RAJANI KUMAR SINGH</t>
  </si>
  <si>
    <t>50205612093</t>
  </si>
  <si>
    <t>ISZMAX</t>
  </si>
  <si>
    <t>https://drive.google.com/file/d/1fB-YhCWz1j1yX9fNyLc_vzYFyVsBP0-w/view?usp=sharing</t>
  </si>
  <si>
    <t>https://drive.google.com/file/d/1vMCqPovnfZLK2hkNmdxZ3GiyAfM2rYp_/view?usp=share_link</t>
  </si>
  <si>
    <t>ANIL KUMAR SINGH</t>
  </si>
  <si>
    <t>50205612147</t>
  </si>
  <si>
    <t>JZBXUN</t>
  </si>
  <si>
    <t>https://drive.google.com/file/d/1KAyEQYpMK7bFCiSVnxixQOg33HZ8Z5UO/view?usp=sharing</t>
  </si>
  <si>
    <t>https://drive.google.com/file/d/1g0CtJvkRIrfPn3hgoftc3SMQUxaVf19U/view?usp=share_link</t>
  </si>
  <si>
    <t>RAMESH KUMAR</t>
  </si>
  <si>
    <t>50205569266</t>
  </si>
  <si>
    <t>KPUOOQ</t>
  </si>
  <si>
    <t>https://drive.google.com/file/d/1NhVg7RphTWAk8BAG_W_VkGaJeFUtRI-K/view?usp=sharing</t>
  </si>
  <si>
    <t>TAPAS BISWAS II</t>
  </si>
  <si>
    <t>502S4766337</t>
  </si>
  <si>
    <t>QJBRBQ</t>
  </si>
  <si>
    <t>https://drive.google.com/file/d/1JnEBOCjYcWyw-X7ow26sErdUjnAnENxA/view?usp=sharing</t>
  </si>
  <si>
    <t>https://drive.google.com/file/d/1zSQ_0j4EAv3AxYiXUwXKLQ6irimc5MdU/view?usp=sharing</t>
  </si>
  <si>
    <t>https://drive.google.com/file/d/1oYhILoXMJtRBKbG93RWZT13y5swD5th_/view?usp=drive_link</t>
  </si>
  <si>
    <t>SANTOSH KUMAR</t>
  </si>
  <si>
    <t>50205607255</t>
  </si>
  <si>
    <t>BLJZYA</t>
  </si>
  <si>
    <t>https://drive.google.com/file/d/1Sj1HY4_FYSbwVpVAQO1k_emTlsaG10Hu/view?usp=sharing</t>
  </si>
  <si>
    <t>https://drive.google.com/file/d/1eYEBy-01X5Wu5OBaPIfdeLxIilAn_cZ7/view?usp=sharing</t>
  </si>
  <si>
    <t>SANJIB ROY</t>
  </si>
  <si>
    <t>50205612202</t>
  </si>
  <si>
    <t>ZXPONM</t>
  </si>
  <si>
    <t>https://drive.google.com/file/d/1bDYoBK24HZze99XYev-T8n-qxr0SQhBM/view?usp=sharing</t>
  </si>
  <si>
    <t>PIJUSH KUMAR DUTTA</t>
  </si>
  <si>
    <t>50205612214</t>
  </si>
  <si>
    <t>UJIICW</t>
  </si>
  <si>
    <t>https://drive.google.com/file/d/1u-e7uIzAlcyoTsyZiKL4bzQ3lFJIzI7q/view?usp=sharing</t>
  </si>
  <si>
    <t>https://drive.google.com/file/d/19dWFSsnU-eD94BCoCbKTVTHiV1E-xyJj/view?usp=sharing</t>
  </si>
  <si>
    <t>BIVASH EDBAR</t>
  </si>
  <si>
    <t>50208CB0100</t>
  </si>
  <si>
    <t>KIWBSJ</t>
  </si>
  <si>
    <t>https://drive.google.com/file/d/18n_yqmGHlFMygMxWCrCHNVhXZT08mPhh/view?usp=sharing</t>
  </si>
  <si>
    <t>https://drive.google.com/file/d/1l9BsUvwVMyoYsc9P3BE2FJo1sXTeWG9S/view?usp=sharing</t>
  </si>
  <si>
    <t>https://drive.google.com/file/d/1eWPJMx-lnTkJMxwbl35EvIaPRJb8QpZ7/view?usp=drive_link</t>
  </si>
  <si>
    <t xml:space="preserve">ARNAB CHOWDHURY </t>
  </si>
  <si>
    <t>50214104112</t>
  </si>
  <si>
    <t>NSWBPC</t>
  </si>
  <si>
    <t>https://drive.google.com/file/d/1K0JbZ2akMvjbhcQBvFiiRv-U7RtrFWbE/view?usp=sharing</t>
  </si>
  <si>
    <t>MISS BITHIKA SAHA</t>
  </si>
  <si>
    <t>50205607589</t>
  </si>
  <si>
    <t>YQONDM</t>
  </si>
  <si>
    <t>https://drive.google.com/file/d/1YHdBHDvc5xzK3ZLTgV1skia829rA515d/view?usp=sharing</t>
  </si>
  <si>
    <t>DEBAPRIYA NATH</t>
  </si>
  <si>
    <t>50205612391</t>
  </si>
  <si>
    <t>YGNMSS</t>
  </si>
  <si>
    <t>https://drive.google.com/file/d/1JgNVBw3EjbyRmbXlRoWGR_D2nVlgIPmJ/view?usp=sharing</t>
  </si>
  <si>
    <t>https://drive.google.com/file/d/1C328zjvB44W5YHHoAg8GMBOg7oGmjMP0/view?usp=sharing</t>
  </si>
  <si>
    <t>DEBASISH BHATTACHARJEE</t>
  </si>
  <si>
    <t>50205612433</t>
  </si>
  <si>
    <t>BJNEMS</t>
  </si>
  <si>
    <t>https://drive.google.com/file/d/13rY5Z2hjORorR17SO9g8WvoST4SLNCCS/view?usp=sharing</t>
  </si>
  <si>
    <t>https://drive.google.com/file/d/16AZ0ATkRADAdqqAM2yCcZZfpOeub48TI/view?usp=drive_link</t>
  </si>
  <si>
    <t>MD TARIQUE ANWAR</t>
  </si>
  <si>
    <t>50205612330</t>
  </si>
  <si>
    <t>HNUGUU</t>
  </si>
  <si>
    <t>AMITAV TARAFDER</t>
  </si>
  <si>
    <t>https://drive.google.com/file/d/1FOuKwbslAMhrFcs4dMlo7bf81gX3_tI2/view?usp=sharing</t>
  </si>
  <si>
    <t>https://drive.google.com/file/d/1NGNaYyvquXLxKuqDGkGR9aiuiQTeX2s_/view?usp=drive_link</t>
  </si>
  <si>
    <t>MILON KRISHNA MISTRY</t>
  </si>
  <si>
    <t>50205612196</t>
  </si>
  <si>
    <t>ARYEQU</t>
  </si>
  <si>
    <t>https://drive.google.com/file/d/1hQiewyDmCd9dIqAdcsPeWO_xtHghMsRo/view?usp=sharing</t>
  </si>
  <si>
    <t>https://drive.google.com/file/d/11-uo34o74UcxfOPi8GnKxmve_oamozXD/view?usp=drive_link</t>
  </si>
  <si>
    <t>SUBRATA CHAKRABORTY II</t>
  </si>
  <si>
    <t>50200065742</t>
  </si>
  <si>
    <t>XJNMZW</t>
  </si>
  <si>
    <t>https://drive.google.com/file/d/19GPZOTcAe6Z-W2XC2OJVxqbZtSsV1cbx/view?usp=sharing</t>
  </si>
  <si>
    <t>https://drive.google.com/file/d/1vtvdfcDiJN_BwEXsPBTyl2qWkgE-2NPb/view?usp=sharing</t>
  </si>
  <si>
    <t>https://drive.google.com/file/d/1EHZs5lscTGwLnydNFJ9VtKZi3zJ9Qwsu/view?usp=drive_link</t>
  </si>
  <si>
    <t>SUBRATA ROY V</t>
  </si>
  <si>
    <t>50205612317</t>
  </si>
  <si>
    <t>DEKJGT</t>
  </si>
  <si>
    <t>https://drive.google.com/file/d/1Hn6vS9VMusZqO4zsLV1yE40YrRXS1y-f/view?usp=sharing</t>
  </si>
  <si>
    <t>SANJEET KUMAR</t>
  </si>
  <si>
    <t>50205613206</t>
  </si>
  <si>
    <t>OUXDWF</t>
  </si>
  <si>
    <t>https://drive.google.com/file/d/13y1vsPhrC_tCKKIStGV18MeNsY2aDf16/view?usp=sharing</t>
  </si>
  <si>
    <t>KENAI MANDAL</t>
  </si>
  <si>
    <t>50205611880</t>
  </si>
  <si>
    <t>WELNOY</t>
  </si>
  <si>
    <t>https://drive.google.com/file/d/17htnMGBnyrs0NJ6nnYxubwP_GLy6XCKm/view?usp=sharing</t>
  </si>
  <si>
    <t>https://drive.google.com/file/d/1SJOkugVCjkNc4XXDJ6Q6GhJneQG5aGLG/view?usp=share_link</t>
  </si>
  <si>
    <t>DEBARAJ ACHARYA</t>
  </si>
  <si>
    <t>50205613358</t>
  </si>
  <si>
    <t>LRYPUD</t>
  </si>
  <si>
    <t>https://drive.google.com/file/d/1b5kG7xqoTI_RxBKorDcgJdqycHaocBBm/view?usp=sharing</t>
  </si>
  <si>
    <t>https://drive.google.com/file/d/1aqtaFCSSiBoVOA1HzRN22UPKvnLjyCZH/view?usp=sharing</t>
  </si>
  <si>
    <t>SANJAY MONDAL</t>
  </si>
  <si>
    <t>50205613279</t>
  </si>
  <si>
    <t>MSLFXZ</t>
  </si>
  <si>
    <t>https://drive.google.com/file/d/1-861Fx3dh7ZLNobrluWUZaHBHI8KHtRi/view?usp=sharing</t>
  </si>
  <si>
    <t>SANTI BARMAN</t>
  </si>
  <si>
    <t>50205613310</t>
  </si>
  <si>
    <t>LUPRCZ</t>
  </si>
  <si>
    <t>https://drive.google.com/file/d/1iiZUdcwvNShTgswNC_tiJ1BBX-e5C6R6/view?usp=sharing</t>
  </si>
  <si>
    <t>RAJIB ROY</t>
  </si>
  <si>
    <t>50205603020</t>
  </si>
  <si>
    <t>NCNMEX</t>
  </si>
  <si>
    <t>https://drive.google.com/file/d/1sb3Fvz6dEd0M86RToN66-Ufgb2x9CzWn/view?usp=sharing</t>
  </si>
  <si>
    <t>https://drive.google.com/file/d/1u1qn5BeHokwDtOwvcAcsK7TA8MRd01Z1/view?usp=sharing</t>
  </si>
  <si>
    <t>LALIT KUMAR</t>
  </si>
  <si>
    <t>50205613190</t>
  </si>
  <si>
    <t>XMWCBG</t>
  </si>
  <si>
    <t>https://drive.google.com/file/d/1EYa0DirC_bki_GkkSZY25yUV314qFwXb/view?usp=sharing</t>
  </si>
  <si>
    <t>https://drive.google.com/file/d/19hIPAesy_Z7an7DLA2AIuZ4M8Qs5c2QD/view?usp=sharing</t>
  </si>
  <si>
    <t>RAMESH KUMAR I</t>
  </si>
  <si>
    <t>50205613371</t>
  </si>
  <si>
    <t>ATNPCT</t>
  </si>
  <si>
    <t>https://drive.google.com/file/d/1KLVwkI0QWu5eZ7qzE08txTjHY7Hbb8I_/view?usp=sharing</t>
  </si>
  <si>
    <t>.</t>
  </si>
  <si>
    <t>MANOJ KUMAR II</t>
  </si>
  <si>
    <t>50205613255</t>
  </si>
  <si>
    <t>CHBODJ</t>
  </si>
  <si>
    <t>https://drive.google.com/file/d/1l7A_mP0JOaROpIdvN4m_12q9sBsZzWK5/view?usp=sharing</t>
  </si>
  <si>
    <t>https://drive.google.com/file/d/1xYp4ECT8IWiUF_a2cpnuKiHQqL-dTyIg/view?usp=sharing</t>
  </si>
  <si>
    <t>MANOJIT NASKAR</t>
  </si>
  <si>
    <t>50205616323</t>
  </si>
  <si>
    <t>YUCJAS</t>
  </si>
  <si>
    <t>https://drive.google.com/file/d/1GGb08wLQz6NxAovNcuhb98kZnI-TzIA2/view?usp=sharing</t>
  </si>
  <si>
    <t>https://drive.google.com/file/d/1yCJauBh5XBk3WT_8wbW6jbuY1XGfP9Gr/view?usp=sharing</t>
  </si>
  <si>
    <t>DEEPAK KUMAR</t>
  </si>
  <si>
    <t>50205617583</t>
  </si>
  <si>
    <t>ELMABR</t>
  </si>
  <si>
    <t>https://drive.google.com/file/d/1hsV2oeobesnu0f69qj9iPrx3da5RDnlm/view?usp=sharing</t>
  </si>
  <si>
    <t>https://drive.google.com/file/d/18oecPKeuB99B8uS9W8IyhdpjnlETTgwE/view?usp=sharing</t>
  </si>
  <si>
    <t>RAJEEV RANJAN</t>
  </si>
  <si>
    <t>50205617595</t>
  </si>
  <si>
    <t>IFNKPW</t>
  </si>
  <si>
    <t>https://drive.google.com/file/d/1Crwc_9yoq2XkqSj67Dficb_HN99RmDup/view?usp=sharing</t>
  </si>
  <si>
    <t>https://drive.google.com/file/d/1F-I-QKuKijWA5WrDZOPztdHU-NlTx0Pq/view?usp=sharing</t>
  </si>
  <si>
    <t>https://drive.google.com/file/d/1K7mdZCo9d2Tg3BA-OqZ4wA4Ujwc1Q38X/view?usp=sharing</t>
  </si>
  <si>
    <t>RATAN MAHAJAN</t>
  </si>
  <si>
    <t>50205613346</t>
  </si>
  <si>
    <t>TSTRQR</t>
  </si>
  <si>
    <t>https://drive.google.com/file/d/1mo_CcuOPiPP9jQrCkOkNCHYPmv5R9OYF/view?usp=sharing</t>
  </si>
  <si>
    <t>RATHINDRA NATH MALLICK</t>
  </si>
  <si>
    <t>50205617546</t>
  </si>
  <si>
    <t>ZQHMKJ</t>
  </si>
  <si>
    <t>https://drive.google.com/file/d/1HuC_IQle8otpo_ypPel-wx4tqI59CKR1/view?usp=sharing</t>
  </si>
  <si>
    <t>https://drive.google.com/file/d/1UAp2gJnjRPhMPcpkWQjOSBaLF3jZojC7/view?usp=sharing</t>
  </si>
  <si>
    <t>SANJOY KUMAR NASKAR</t>
  </si>
  <si>
    <t>50205617650</t>
  </si>
  <si>
    <t>JLJNJY</t>
  </si>
  <si>
    <t>https://drive.google.com/file/d/11N-OjAa15B5TJrn8I_ax7-sjBsUa0uJF/view?usp=sharing</t>
  </si>
  <si>
    <t>https://drive.google.com/file/d/1N2V1c3VKaIKl3O-ToqW-7lvus8wwc--6/view?usp=sharing</t>
  </si>
  <si>
    <t>PALASH BISWAS</t>
  </si>
  <si>
    <t>50205617613</t>
  </si>
  <si>
    <t>RAPSOT</t>
  </si>
  <si>
    <t>RUWEL MURMU</t>
  </si>
  <si>
    <t>https://drive.google.com/file/d/18vjhRzMoUYfSZfg0ZYTRnEFvN3lZ67Yx/view?usp=sharing</t>
  </si>
  <si>
    <t>https://drive.google.com/file/d/14461BUV9aY5YXOzo1R5AtQvkKOuWymQz/view?usp=sharing</t>
  </si>
  <si>
    <t>https://drive.google.com/file/d/12_PmJ1BHDrgLKvkN_xf0utfWcmpoB29r/view?usp=sharing</t>
  </si>
  <si>
    <t>PRADIP PAUL</t>
  </si>
  <si>
    <t>50205617625</t>
  </si>
  <si>
    <t>MUPLLY</t>
  </si>
  <si>
    <t>https://drive.google.com/file/d/10_6y6pUQi-CH1ifIUFW90OEUfjqf_Mk4/view?usp=sharing</t>
  </si>
  <si>
    <t>https://drive.google.com/file/d/1vi47C-YHy6Caoas1ocFvkUCK8FTACo0X/view?usp=sharing</t>
  </si>
  <si>
    <t>UDAY KUMAR /I</t>
  </si>
  <si>
    <t>50205617674</t>
  </si>
  <si>
    <t>ZSJHLN</t>
  </si>
  <si>
    <t>https://drive.google.com/file/d/1VovdqlP25T0aTmsMc14_SE5p9PLF1mcS/view?usp=sharing</t>
  </si>
  <si>
    <t>https://drive.google.com/file/d/1XAu8BG5RqGNEoh3w6fysudEEoxE5d-KU/view?usp=sharing</t>
  </si>
  <si>
    <t>MANTU PRASAD GUPTA</t>
  </si>
  <si>
    <t>50205602701</t>
  </si>
  <si>
    <t>THRQKS</t>
  </si>
  <si>
    <t>SUDIP ROY</t>
  </si>
  <si>
    <t>https://drive.google.com/file/d/1eQSJP6AlBMF2c2krmCPtp1LmGfN-b9ut/view?usp=sharing</t>
  </si>
  <si>
    <t>https://drive.google.com/file/d/1wIAHVzYax6cULGYa2dLlqmyHvYlpvknE/view?usp=sharing</t>
  </si>
  <si>
    <t>SANJIV KUMAR</t>
  </si>
  <si>
    <t>50205617716</t>
  </si>
  <si>
    <t>WYOOHU</t>
  </si>
  <si>
    <t>https://drive.google.com/file/d/1tICCIUg1BL9Bm8QUQfAUsNfd0qFXAZMq/view?usp=sharing</t>
  </si>
  <si>
    <t>https://drive.google.com/file/d/1SjUeypD_bFO-IFHvSNG0QZQK2xzRbOtD/view?usp=sharing</t>
  </si>
  <si>
    <t>ABHISHEK RAJ</t>
  </si>
  <si>
    <t>39512AE0081</t>
  </si>
  <si>
    <t>PZIKZP</t>
  </si>
  <si>
    <t>https://drive.google.com/file/d/14FYky4BiqUrYWvuNRzuDmVT_DjmrHmUY/view?usp=sharing</t>
  </si>
  <si>
    <t>https://drive.google.com/file/d/1T4gIbj3LipePgvebNxfoLCII8Hy2EfU_/view?usp=sharing</t>
  </si>
  <si>
    <t>https://drive.google.com/file/d/1DXh9Osmg5VPg4uK87h_TTTv_ATxXewOZ/view?usp=sharing</t>
  </si>
  <si>
    <t>MISS JINAGA MADHAVI</t>
  </si>
  <si>
    <t>50205618046</t>
  </si>
  <si>
    <t>AFCBTZ</t>
  </si>
  <si>
    <t>https://drive.google.com/file/d/1lhN0CdAQ3snAkKGQJR8pnuZmZ8tkbzat/view?usp=sharing</t>
  </si>
  <si>
    <t>https://drive.google.com/file/d/1you1rL4CpsNm1KoxdLzAk8Dn33Nt7Y-M/view?usp=sharing</t>
  </si>
  <si>
    <t>UDAY KUMAR SINGH</t>
  </si>
  <si>
    <t>50205618071</t>
  </si>
  <si>
    <t>SAIJAQ</t>
  </si>
  <si>
    <t>https://drive.google.com/file/d/16eivQy9RtJP4EO-cEZ8i6EQo2TlvTn-Z/view?usp=sharing</t>
  </si>
  <si>
    <t>https://drive.google.com/file/d/1vHtxk4SwZVCtocwHYsF5dPot0wkmMuek/view?usp=sharing</t>
  </si>
  <si>
    <t>SANAT BISWAS II</t>
  </si>
  <si>
    <t>50205618095</t>
  </si>
  <si>
    <t>OKQLFW</t>
  </si>
  <si>
    <t>https://drive.google.com/file/d/16FNTUJHjwIFBRhnvuk19qChL59znr_88/view?usp=sharing</t>
  </si>
  <si>
    <t>https://drive.google.com/file/d/1Rwh5dVRH5nO84S0zgzgsu7fESKFQUhe0/view?usp=sharing</t>
  </si>
  <si>
    <t>BADAL MONDAL</t>
  </si>
  <si>
    <t>50205618101</t>
  </si>
  <si>
    <t>PYYGNU</t>
  </si>
  <si>
    <t>https://drive.google.com/file/d/1CfDTtx6bvjcXL9disl3fi3-Z7xVg3F01/view?usp=sharing</t>
  </si>
  <si>
    <t>https://drive.google.com/file/d/177_cISHhXrnxDnt_9z8lqcfFOAj-yPFu/view?usp=sharing</t>
  </si>
  <si>
    <t>MISS MOUSUMI SAHA</t>
  </si>
  <si>
    <t>50205618125</t>
  </si>
  <si>
    <t>DWJOAM</t>
  </si>
  <si>
    <t>https://drive.google.com/file/d/1xfSO-dKAib_BvQUEqMwtAo-TjOlk5CjY/view?usp=sharing</t>
  </si>
  <si>
    <t>https://drive.google.com/file/d/1KuPrqFru-1XoCsZ8MTtIaUrUsaSfBsz1/view?usp=sharing</t>
  </si>
  <si>
    <t>BABLU KUMAR</t>
  </si>
  <si>
    <t>50205617935</t>
  </si>
  <si>
    <t>FGLMPL</t>
  </si>
  <si>
    <t>https://drive.google.com/file/d/1sAsMNP1fBMmlyjGEwhnwLzc4Ta4taW8a/view?usp=sharing</t>
  </si>
  <si>
    <t>https://drive.google.com/file/d/1grGm-jgPGEoK8FsnL0BMMaVGNfSbiXO4/view?usp=sharing</t>
  </si>
  <si>
    <t>https://drive.google.com/file/d/167cx3Sr8fP8Av7cS88QDJIlBzLlx25Cv/view?usp=sharing</t>
  </si>
  <si>
    <t>https://drive.google.com/file/d/1YCAGkhOs5_CP1Fy0iN2mbeRq3AtAOiW7/view?usp=sharing</t>
  </si>
  <si>
    <t>DINESH KUMAR SINGH II</t>
  </si>
  <si>
    <t>50205617923</t>
  </si>
  <si>
    <t>JLYLWZ</t>
  </si>
  <si>
    <t>https://drive.google.com/file/d/1dm1p2mjRPQ53ogZsGB-BXMmKLeEXP4eO/view?usp=sharing</t>
  </si>
  <si>
    <t>https://drive.google.com/file/d/1EVAlxiTSZ83C6tsroyZxdGP1aXpkB5Vh/view?usp=sharing</t>
  </si>
  <si>
    <t>SOUMEN BISWAS I</t>
  </si>
  <si>
    <t>MYYDEM</t>
  </si>
  <si>
    <t>https://drive.google.com/file/d/1foRWzJG8D6A1c4-4p71M3RENEcg2wvZ8/view?usp=sharing</t>
  </si>
  <si>
    <t>https://drive.google.com/file/d/1lj3IAcwcW4isXScMxeQWnLPjhrOHZWhx/view?usp=sharing</t>
  </si>
  <si>
    <t>https://drive.google.com/file/d/18Vxbl5gWXNkPt7e8foe15Kyp1h6PrVuU/view?usp=sharing</t>
  </si>
  <si>
    <t>DIBYENDU HALDER</t>
  </si>
  <si>
    <t>50205618307</t>
  </si>
  <si>
    <t>UJCPMI</t>
  </si>
  <si>
    <t>https://drive.google.com/file/d/1KixS9i8xiaHW_wVeKNGL8IWO4eSCn2IZ/view?usp=sharing</t>
  </si>
  <si>
    <t>https://drive.google.com/file/d/1XPsN4jSH2J7pWx8XVFUeTNdQ2ds3o9YY/view?usp=sharing</t>
  </si>
  <si>
    <t>https://drive.google.com/file/d/13fwdlRQAsQ1ZYl5DhU0IrJXQQFmOAUyn/view?usp=sharing</t>
  </si>
  <si>
    <t>https://drive.google.com/file/d/1Io4IbTNgBQD_PT6lxB61tjDJ4GCiDxjN/view?usp=sharing</t>
  </si>
  <si>
    <t>MANOJ KUMAR MARJIT</t>
  </si>
  <si>
    <t>50205618368</t>
  </si>
  <si>
    <t>NELQUP</t>
  </si>
  <si>
    <t>C</t>
  </si>
  <si>
    <t>https://drive.google.com/file/d/19cRVyw_2bdgi-w1UCmDryT-QN2CtVvhU/view?usp=sharing</t>
  </si>
  <si>
    <t>https://drive.google.com/file/d/1V9N-g2T-4VvXKutSxTf3AFMb1hvbbQb8/view?usp=sharing</t>
  </si>
  <si>
    <t>GOBINDA SANTRA</t>
  </si>
  <si>
    <t>TAKATH</t>
  </si>
  <si>
    <t>https://drive.google.com/file/d/18w3cl-o4xdxyS3rc7a5YbmkDwUszyU4D/view?usp=sharing</t>
  </si>
  <si>
    <t>https://drive.google.com/file/d/11r0xBS6cxlG3GQXQ26OAswcpXAIdPWxf/view?usp=sharing</t>
  </si>
  <si>
    <t>https://drive.google.com/file/d/19KurNjV_l-MiA8KR3oid6_tIlWqPvMg0/view?usp=sharing</t>
  </si>
  <si>
    <t>https://drive.google.com/file/d/1chahu_oJSzbPmm-65M75Sb3tzgaFa2nD/view?usp=sharing</t>
  </si>
  <si>
    <t>CHIRANJIT GHOSH</t>
  </si>
  <si>
    <t>50205618253</t>
  </si>
  <si>
    <t>ATTEMR</t>
  </si>
  <si>
    <t>https://drive.google.com/file/d/1ifTCVCOGryxgVG-S-w6TjyibdVsUqJF-/view?usp=sharing</t>
  </si>
  <si>
    <t>https://drive.google.com/file/d/1mj-DhotmgOU1136PmytzwhaZJg0LDR7X/view?usp=sharing</t>
  </si>
  <si>
    <t>https://drive.google.com/file/d/1uJYBdKWWFY68uRD-wBVpZsysp9qGH-kh/view?usp=sharing</t>
  </si>
  <si>
    <t>DEBOBRATA SARDAR</t>
  </si>
  <si>
    <t>50205612329</t>
  </si>
  <si>
    <t>XTUUCD</t>
  </si>
  <si>
    <t>https://drive.google.com/file/d/1zsxoYr2-d9mGaKxPf3fooHElcUp3OdNe/view?usp=sharing</t>
  </si>
  <si>
    <t>https://drive.google.com/file/d/16VZug6JODlcfDCxy0M_6P_OE3RLjdhn1/view?usp=sharing</t>
  </si>
  <si>
    <t>https://drive.google.com/file/d/1jIaJkQGjH811hRfgmSrlqInvCC6ueI98/view?usp=sharing</t>
  </si>
  <si>
    <t>DINESH KUMAR SAHA</t>
  </si>
  <si>
    <t>50205612354</t>
  </si>
  <si>
    <t>WTYJIX</t>
  </si>
  <si>
    <t>TAPAS KR DE</t>
  </si>
  <si>
    <t>https://drive.google.com/file/d/1NwTL27d93fanb62JqOecIpJ7I7WEqWGc/view?usp=sharing</t>
  </si>
  <si>
    <t>https://drive.google.com/file/d/1yMp-GXWSir6PJvGd5fFDSm8S977bJUvk/view?usp=sharing</t>
  </si>
  <si>
    <t>https://drive.google.com/file/d/1KcLSPxWRYgve3XGOdT5jKVaDc8FMZF9C/view?usp=sharing</t>
  </si>
  <si>
    <t>RAJ KUMAR</t>
  </si>
  <si>
    <t>50714404841</t>
  </si>
  <si>
    <t>OGIENM</t>
  </si>
  <si>
    <t>https://drive.google.com/file/d/1MRWUbt2W1KNFkM3XmvKWgiHjhtrpwQex/view?usp=sharing</t>
  </si>
  <si>
    <t>https://drive.google.com/file/d/12G1K0oR6etb7wzyQCk6q3cPGOd7apOAE/view?usp=sharing</t>
  </si>
  <si>
    <t>https://drive.google.com/file/d/1kuo59ZLkTTc0zzxkgFx1UMHy469AD9ov/view?usp=sharing</t>
  </si>
  <si>
    <t>https://drive.google.com/file/d/1tPq2bnCHJFEW28TocqJFufZ4Kst7ckmv/view?usp=sharing</t>
  </si>
  <si>
    <t>PABITRA DAS</t>
  </si>
  <si>
    <t>50205525731</t>
  </si>
  <si>
    <t>QCSSJR</t>
  </si>
  <si>
    <t>https://drive.google.com/file/d/154RmERfMjnXpt5Evycne6bT9BQgf6XNZ/view?usp=sharing</t>
  </si>
  <si>
    <t>https://drive.google.com/file/d/1xPBS-qNI5lCmV2Pyu0bJOpMDdW9Y-gEs/view?usp=sharing</t>
  </si>
  <si>
    <t>https://drive.google.com/file/d/1ZlrXNM6iHd3x5aPmFY89dj3n--L-vLqx/view?usp=sharing</t>
  </si>
  <si>
    <t>https://drive.google.com/file/d/1ntpjUM8Pm1ywh-BUql_l4eKhvRnNQioD/view?usp=sharing</t>
  </si>
  <si>
    <t>JAYANTA ROY</t>
  </si>
  <si>
    <t>LQECRF</t>
  </si>
  <si>
    <t>https://drive.google.com/file/d/1u8S3jn5g__ulcb43nYrILS4IbSqrr25N/view?usp=sharing</t>
  </si>
  <si>
    <t>https://drive.google.com/file/d/1-cgjDlvWghsA1rPiccDWRmHTQGQv0aCa/view?usp=share_link</t>
  </si>
  <si>
    <t>https://drive.google.com/file/d/1WOVnb7e6Ha_fLzTXomsYVp19u8QICp5e/view?usp=sharing</t>
  </si>
  <si>
    <t>https://drive.google.com/file/d/1ZJq03YBiByq14hphBCl3PeOzCP2al97H/view?usp=sharing</t>
  </si>
  <si>
    <t>ALOK CHANDRA SARKAR</t>
  </si>
  <si>
    <t>LPS</t>
  </si>
  <si>
    <t>50205843017</t>
  </si>
  <si>
    <t>UKRHYU</t>
  </si>
  <si>
    <t>SAMARESH MONDAL</t>
  </si>
  <si>
    <t>https://drive.google.com/file/d/1RK2XLklB9oiAv3rqelauMCMr1jPqZ35q/view?usp=sharing</t>
  </si>
  <si>
    <t>BALWANT KUMAR GOND</t>
  </si>
  <si>
    <t>50205618460</t>
  </si>
  <si>
    <t>SZTRHQ</t>
  </si>
  <si>
    <t>........</t>
  </si>
  <si>
    <t>https://drive.google.com/file/d/1KWlwe-7_xQ8XLTamJZIxNpEiQZi5UXTC/view?usp=sharing</t>
  </si>
  <si>
    <t>BARUN DOLAI</t>
  </si>
  <si>
    <t>50212135136</t>
  </si>
  <si>
    <t>ZRUJNP</t>
  </si>
  <si>
    <t>https://drive.google.com/file/d/1baTh4w68pXLNDeJYHO8kQx80dOf6ceGE/view?usp=sharing</t>
  </si>
  <si>
    <t>BISWAJIT DAPTARI</t>
  </si>
  <si>
    <t>50204114899</t>
  </si>
  <si>
    <t>OZDQIM</t>
  </si>
  <si>
    <t>https://drive.google.com/file/d/1eX_lSxb_Y5sFezzB7sgC0OnU57lnHp2C/view?usp=sharing</t>
  </si>
  <si>
    <t>MRIDUL MANDAL</t>
  </si>
  <si>
    <t>50200035725</t>
  </si>
  <si>
    <t>SUIANR</t>
  </si>
  <si>
    <t>......</t>
  </si>
  <si>
    <t>https://drive.google.com/file/d/1Wdjz9hlqXQ89gUupCmIn5dHxBgUg2Ms1/view?usp=sharing</t>
  </si>
  <si>
    <t>PANCHANAN SAHOO</t>
  </si>
  <si>
    <t>50205420830</t>
  </si>
  <si>
    <t>LTHCPB</t>
  </si>
  <si>
    <t>https://drive.google.com/file/d/10HiPmDxglBHzWpl6v5BxLoKxikIiLa29/view?usp=sharing</t>
  </si>
  <si>
    <t>PREM KR CHOUDHURY</t>
  </si>
  <si>
    <t>50205418264</t>
  </si>
  <si>
    <t>RKFCTK</t>
  </si>
  <si>
    <t>https://drive.google.com/file/d/1IIs-rApniKg4uapa01vMVjRt-y02lS36/view?usp=sharing</t>
  </si>
  <si>
    <t>PROLAY KUMAR PAUL</t>
  </si>
  <si>
    <t>50209416985</t>
  </si>
  <si>
    <t>UDYEKP</t>
  </si>
  <si>
    <t>https://drive.google.com/file/d/1tXc2cv-xZLxtDfzyqH-Y7qoobAgShpU9/view?usp=sharing</t>
  </si>
  <si>
    <t>R P KARMAKAR</t>
  </si>
  <si>
    <t>50205522626</t>
  </si>
  <si>
    <t>RREFHX</t>
  </si>
  <si>
    <t>https://drive.google.com/file/d/1MmxnSfvE8jHicyxA_v-xk6LIqxdh9f9x/view?usp=sharing</t>
  </si>
  <si>
    <t>RAJU BHATTACHARYA</t>
  </si>
  <si>
    <t>50205602397</t>
  </si>
  <si>
    <t>OMZOHJ</t>
  </si>
  <si>
    <t>https://drive.google.com/file/d/1W26Mm1YvXaazxGlxDZoi5ZLttrgV0eKa/view?usp=sharing</t>
  </si>
  <si>
    <t>SANJAY DAS</t>
  </si>
  <si>
    <t>50205419116</t>
  </si>
  <si>
    <t>LQYHKM</t>
  </si>
  <si>
    <t>SHYAMAL MANDAL</t>
  </si>
  <si>
    <t>50205500310</t>
  </si>
  <si>
    <t>FMQDHY</t>
  </si>
  <si>
    <t>https://drive.google.com/file/d/13siWcO-CQK4pILZReK4qgQpsKxN7iVBC/view?usp=sharing</t>
  </si>
  <si>
    <t>SUJIT KUMAR ROY</t>
  </si>
  <si>
    <t>50205522560</t>
  </si>
  <si>
    <t>LYCOQY</t>
  </si>
  <si>
    <t>https://drive.google.com/file/d/1-kAf9nd-E_8Rz8HPMt55NMlxcY5k1XV-/view?usp=sharing</t>
  </si>
  <si>
    <t>TAPAS SARKAR</t>
  </si>
  <si>
    <t>50205522444</t>
  </si>
  <si>
    <t>FEASPF</t>
  </si>
  <si>
    <t>https://drive.google.com/file/d/1dnUHul7-ZtbDBrt9iNcE-uzDGa_Qx3k5/view?usp=sharing</t>
  </si>
  <si>
    <t>HINDOL KANTI DAS</t>
  </si>
  <si>
    <t>LPG</t>
  </si>
  <si>
    <t>53107900910</t>
  </si>
  <si>
    <t>EQJTHY</t>
  </si>
  <si>
    <t>SUBRATA SAHA</t>
  </si>
  <si>
    <t>https://drive.google.com/file/d/1xbbN191CWMSPVNIvmO2uJIpNmEi2ntWq/view?usp=sharing</t>
  </si>
  <si>
    <t>https://drive.google.com/file/d/1eXbD6PSulNxyqiMGG42cr6JgLzw4pqPb/view?usp=share_link</t>
  </si>
  <si>
    <t>PREM PRAKASH KUMAR</t>
  </si>
  <si>
    <t>502NPS05412</t>
  </si>
  <si>
    <t>LXEJTX</t>
  </si>
  <si>
    <t>https://drive.google.com/file/d/1SDUWkZ1KqaHavrfvog3HUR7ldWZBqCWn/view?usp=sharing</t>
  </si>
  <si>
    <t>https://drive.google.com/file/d/1gdNsJRoq2DqH4EMpRrgnYE2TdxzUtPL5/view?usp=share_link</t>
  </si>
  <si>
    <t>GOPAL KUMAR</t>
  </si>
  <si>
    <t>50205606871</t>
  </si>
  <si>
    <t>ZFCRXP</t>
  </si>
  <si>
    <t>https://drive.google.com/file/d/19aQ3ilOwbN_szfjdkhXZveTi5taWKfcJ/view?usp=sharing</t>
  </si>
  <si>
    <t>KINGSHUK BISWAS</t>
  </si>
  <si>
    <t>50714504886</t>
  </si>
  <si>
    <t>WKNCDW</t>
  </si>
  <si>
    <t>https://drive.google.com/file/d/1DCcG1HsFoqmk2UAPnc79eocbGUBrvZNQ/view?usp=sharing</t>
  </si>
  <si>
    <t>https://drive.google.com/file/d/1ALQJMJuxiHxkh6C_o8uFFcNpbK5y8L73/view?usp=drive_link</t>
  </si>
  <si>
    <t>SMT ARPITA LAHA</t>
  </si>
  <si>
    <t>53162131082</t>
  </si>
  <si>
    <t>AACBBW</t>
  </si>
  <si>
    <t>https://drive.google.com/file/d/1J4VmAwfAMRoc7YAvLgWKoue266LqniD_/view?usp=sharing</t>
  </si>
  <si>
    <t>https://drive.google.com/file/d/1jfRpHAKpd8LxpA8-ZYVzqMwbqJQJp3jL/view?usp=drive_link</t>
  </si>
  <si>
    <t>SANTU SAHA</t>
  </si>
  <si>
    <t>53162131062</t>
  </si>
  <si>
    <t>NGBGWJ</t>
  </si>
  <si>
    <t>https://drive.google.com/file/d/1btHO1KYyLTx7MpsqQpsVIed6_eyVQZq9/view?usp=sharing</t>
  </si>
  <si>
    <t>Poly Roy</t>
  </si>
  <si>
    <t>50205678203</t>
  </si>
  <si>
    <t>XHSHQX</t>
  </si>
  <si>
    <t>https://drive.google.com/file/d/1t645cAxAg8jTpYvfRS7_TSQs_ZJOo_CF/view?usp=sharing</t>
  </si>
  <si>
    <t>https://drive.google.com/file/d/1qNu_A3kPMKkbGFUnpCoMnnz5Bu4gdRez/view?usp=drive_link</t>
  </si>
  <si>
    <t>Sumit Kr. Kamti</t>
  </si>
  <si>
    <t>50205690511</t>
  </si>
  <si>
    <t>IHMNTR</t>
  </si>
  <si>
    <t>https://drive.google.com/file/d/1fAAetCL-E5ENGHJ68eYrlaNHltpeHTB1/view?usp=sharing</t>
  </si>
  <si>
    <t>Sandip Kr.Shaw</t>
  </si>
  <si>
    <t>50205690651</t>
  </si>
  <si>
    <t>LXXXUA</t>
  </si>
  <si>
    <t>https://drive.google.com/file/d/1jEUCs4cAHg0VcScbmGyTVh7rjygvJ8ZP/view?usp=sharing</t>
  </si>
  <si>
    <t>Santanu Halder</t>
  </si>
  <si>
    <t>50205677737</t>
  </si>
  <si>
    <t>RRKWKZ</t>
  </si>
  <si>
    <t>https://drive.google.com/file/d/1-C5HmI53EbS8M242Wf5EhF82hcScDZSP/view?usp=sharing</t>
  </si>
  <si>
    <t>https://drive.google.com/file/d/12rIjm90A3myxEIur608ya4DXp8MfLEiA/view?usp=drive_link</t>
  </si>
  <si>
    <t>TANMOY SARKAR</t>
  </si>
  <si>
    <t>50200116038</t>
  </si>
  <si>
    <t>IEWGZX</t>
  </si>
  <si>
    <t>https://drive.google.com/file/d/1vifKW7CgIrby8ESZ3Q6w0ncoN0EDoZyg/view?usp=sharing</t>
  </si>
  <si>
    <t>Somnath Naskar</t>
  </si>
  <si>
    <t>50205690699</t>
  </si>
  <si>
    <t>AAUKNN</t>
  </si>
  <si>
    <t>https://drive.google.com/file/d/1DiHFAfLFabPYpa6GQ7EgYDSl8XBHqO8g/view?usp=sharing</t>
  </si>
  <si>
    <t>https://drive.google.com/file/d/1qbO6h-R8lPbNe_6hc24LVTFsM173NFDE/view?usp=sharing</t>
  </si>
  <si>
    <t>RAJIB KUMAR SAHA</t>
  </si>
  <si>
    <t>50205690687</t>
  </si>
  <si>
    <t>NHHOXA</t>
  </si>
  <si>
    <t>https://drive.google.com/file/d/1D5SWgh_MEJ78kdhwlRU31AzBNethbAhY/view?usp=sharing</t>
  </si>
  <si>
    <t>ANIRUDDHA DASGUPTA</t>
  </si>
  <si>
    <t>3429801849</t>
  </si>
  <si>
    <t>WXWWAX</t>
  </si>
  <si>
    <t>https://drive.google.com/file/d/1IJRsCADeSJGRQ-FI7sIuaAOsWkbBgKWo/view?usp=sharing</t>
  </si>
  <si>
    <t>https://drive.google.com/file/d/10GomHXk5HDWv4Z4YVd8Hks4J36zLME4B/view?usp=sharing</t>
  </si>
  <si>
    <t>GAUTAM SARKAR</t>
  </si>
  <si>
    <t>3429801832</t>
  </si>
  <si>
    <t>CEQAEC</t>
  </si>
  <si>
    <t>https://drive.google.com/file/d/1boXpnatl_MhDp1gzP2LddYWN4tAnMg1m/view?usp=sharing</t>
  </si>
  <si>
    <t>https://drive.google.com/file/d/1Sflkbl0Y9mf7X8_tWUyA3z7baJ5HtKX-/view?usp=sharing</t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</si>
</sst>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2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11"/>
      <color rgb="FF000000"/>
      <name val="Inconsolata"/>
    </font>
    <font>
      <sz val="11"/>
      <color theme="1"/>
      <name val="Arial"/>
    </font>
    <font>
      <u/>
      <sz val="11"/>
      <color theme="1"/>
      <name val="Calibri"/>
    </font>
    <font>
      <u/>
      <sz val="11"/>
      <color rgb="FF000000"/>
      <name val="Calibri"/>
    </font>
    <font>
      <sz val="11"/>
      <color rgb="FF000000"/>
      <name val="Arial"/>
    </font>
    <font>
      <sz val="11"/>
      <color rgb="FF000000"/>
      <name val="Times New Roman"/>
    </font>
    <font>
      <sz val="10"/>
      <color rgb="FF000000"/>
      <name val="Verdana"/>
    </font>
    <font>
      <sz val="9"/>
      <color rgb="FF000000"/>
      <name val="Verdana"/>
    </font>
    <font>
      <sz val="11"/>
      <color rgb="FF5A5A5A"/>
      <name val="Arial"/>
    </font>
    <font>
      <sz val="11"/>
      <color rgb="FF5A5A5A"/>
      <name val="Calibri"/>
    </font>
    <font>
      <sz val="10"/>
      <color rgb="FF000000"/>
      <name val="Arial"/>
    </font>
    <font>
      <sz val="10"/>
      <color theme="1"/>
      <name val="Arial"/>
    </font>
    <font>
      <sz val="9"/>
      <color rgb="FF000000"/>
      <name val="-apple-system"/>
    </font>
    <font>
      <sz val="11"/>
      <color rgb="FF000000"/>
      <name val="&quot;Arial Narrow&quot;"/>
    </font>
    <font>
      <sz val="11"/>
      <color rgb="FF0E233D"/>
      <name val="Calibri"/>
    </font>
    <font>
      <sz val="12"/>
      <color rgb="FF000000"/>
      <name val="&quot;Arial Narrow&quot;"/>
    </font>
    <font>
      <sz val="10"/>
      <color rgb="FF0E233D"/>
      <name val="Arial"/>
    </font>
    <font>
      <sz val="10"/>
      <color rgb="FF000000"/>
      <name val="Calibri"/>
    </font>
    <font>
      <sz val="12"/>
      <color rgb="FF000000"/>
      <name val="Calibri"/>
    </font>
    <font>
      <sz val="10"/>
      <color rgb="FF5A5A5A"/>
      <name val="Arial"/>
    </font>
    <font>
      <sz val="14"/>
      <color rgb="FF000000"/>
      <name val="Calibri"/>
    </font>
    <font>
      <sz val="10"/>
      <color rgb="FF5A5A5A"/>
      <name val="Calibri"/>
    </font>
    <font>
      <sz val="12"/>
      <color theme="1"/>
      <name val="Calibri"/>
      <scheme val="minor"/>
    </font>
    <font>
      <sz val="11"/>
      <color rgb="FF000000"/>
      <name val="&quot;Times New Roman&quot;"/>
    </font>
    <font>
      <sz val="10"/>
      <color theme="1"/>
      <name val="Calibri"/>
    </font>
    <font>
      <sz val="10"/>
      <color rgb="FF000000"/>
      <name val="Roboto"/>
    </font>
    <font>
      <sz val="10"/>
      <color rgb="FF333333"/>
      <name val="Roboto"/>
    </font>
    <font>
      <sz val="10"/>
      <color rgb="FF0E233D"/>
      <name val="Calibri"/>
    </font>
    <font>
      <sz val="9"/>
      <color rgb="FF000000"/>
      <name val="Roboto"/>
    </font>
    <font>
      <sz val="12"/>
      <color theme="1"/>
      <name val="Calibri"/>
    </font>
    <font>
      <sz val="14"/>
      <color theme="1"/>
      <name val="Calibri"/>
      <scheme val="minor"/>
    </font>
    <font>
      <sz val="11"/>
      <color rgb="FFFFFFFF"/>
      <name val="Calibri"/>
      <scheme val="minor"/>
    </font>
    <font>
      <sz val="10"/>
      <color rgb="FF000000"/>
      <name val="-apple-system"/>
    </font>
    <font>
      <sz val="11"/>
      <color rgb="FFFF0000"/>
      <name val="Calibri"/>
    </font>
    <font>
      <sz val="11"/>
      <color theme="1"/>
      <name val="Times New Roman"/>
    </font>
  </fonts>
  <fills count="16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EEEEE"/>
        <bgColor rgb="FFEEEEEE"/>
      </patternFill>
    </fill>
    <fill>
      <patternFill patternType="solid">
        <fgColor rgb="FFECECEC"/>
        <bgColor rgb="FFECECEC"/>
      </patternFill>
    </fill>
    <fill>
      <patternFill patternType="solid">
        <fgColor rgb="FFF9F9F9"/>
        <bgColor rgb="FFF9F9F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4A86E8"/>
        <bgColor rgb="FF4A86E8"/>
      </patternFill>
    </fill>
    <fill>
      <patternFill patternType="solid">
        <fgColor rgb="FFC00000"/>
        <bgColor rgb="FFC00000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F4F4F4"/>
      </right>
      <top style="thin">
        <color rgb="FFDDDDDD"/>
      </top>
      <bottom style="thin">
        <color rgb="FFF4F4F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/>
    <xf numFmtId="0" fontId="5" fillId="0" borderId="1" xfId="0" applyFont="1" applyBorder="1" applyAlignment="1"/>
    <xf numFmtId="0" fontId="8" fillId="0" borderId="1" xfId="0" applyFont="1" applyBorder="1" applyAlignment="1"/>
    <xf numFmtId="0" fontId="5" fillId="0" borderId="1" xfId="0" applyFont="1" applyBorder="1"/>
    <xf numFmtId="0" fontId="9" fillId="4" borderId="0" xfId="0" applyFont="1" applyFill="1"/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6" fillId="5" borderId="1" xfId="0" applyNumberFormat="1" applyFont="1" applyFill="1" applyBorder="1" applyAlignment="1">
      <alignment horizontal="center"/>
    </xf>
    <xf numFmtId="14" fontId="5" fillId="0" borderId="0" xfId="0" applyNumberFormat="1" applyFont="1" applyAlignment="1"/>
    <xf numFmtId="0" fontId="7" fillId="0" borderId="1" xfId="0" applyFont="1" applyBorder="1"/>
    <xf numFmtId="0" fontId="11" fillId="0" borderId="1" xfId="0" applyFont="1" applyBorder="1" applyAlignment="1"/>
    <xf numFmtId="14" fontId="5" fillId="3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 wrapText="1"/>
    </xf>
    <xf numFmtId="0" fontId="12" fillId="0" borderId="1" xfId="0" applyFont="1" applyBorder="1" applyAlignme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 wrapText="1"/>
    </xf>
    <xf numFmtId="14" fontId="14" fillId="0" borderId="1" xfId="0" applyNumberFormat="1" applyFont="1" applyBorder="1" applyAlignment="1">
      <alignment horizontal="center"/>
    </xf>
    <xf numFmtId="0" fontId="7" fillId="0" borderId="1" xfId="0" applyFont="1" applyBorder="1" applyAlignment="1"/>
    <xf numFmtId="49" fontId="15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49" fontId="17" fillId="4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8" fillId="0" borderId="0" xfId="0" applyFont="1" applyAlignment="1"/>
    <xf numFmtId="0" fontId="7" fillId="0" borderId="0" xfId="0" applyFont="1"/>
    <xf numFmtId="49" fontId="18" fillId="4" borderId="1" xfId="0" applyNumberFormat="1" applyFont="1" applyFill="1" applyBorder="1" applyAlignment="1">
      <alignment horizontal="center"/>
    </xf>
    <xf numFmtId="49" fontId="19" fillId="0" borderId="1" xfId="0" applyNumberFormat="1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left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9" fontId="2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4" fillId="0" borderId="1" xfId="0" applyFont="1" applyBorder="1" applyAlignment="1"/>
    <xf numFmtId="49" fontId="25" fillId="0" borderId="1" xfId="0" applyNumberFormat="1" applyFont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wrapText="1"/>
    </xf>
    <xf numFmtId="0" fontId="6" fillId="0" borderId="1" xfId="0" applyFont="1" applyBorder="1" applyAlignment="1"/>
    <xf numFmtId="0" fontId="5" fillId="0" borderId="0" xfId="0" applyFont="1"/>
    <xf numFmtId="0" fontId="27" fillId="0" borderId="1" xfId="0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14" fontId="6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5" fillId="0" borderId="0" xfId="0" applyFont="1" applyAlignment="1"/>
    <xf numFmtId="0" fontId="6" fillId="0" borderId="5" xfId="0" applyFont="1" applyBorder="1" applyAlignment="1">
      <alignment horizontal="left" wrapText="1"/>
    </xf>
    <xf numFmtId="49" fontId="19" fillId="0" borderId="5" xfId="0" applyNumberFormat="1" applyFont="1" applyBorder="1" applyAlignment="1">
      <alignment horizontal="center" wrapText="1"/>
    </xf>
    <xf numFmtId="49" fontId="28" fillId="4" borderId="5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49" fontId="26" fillId="0" borderId="1" xfId="0" applyNumberFormat="1" applyFont="1" applyBorder="1" applyAlignment="1">
      <alignment horizontal="center" wrapText="1"/>
    </xf>
    <xf numFmtId="0" fontId="24" fillId="0" borderId="5" xfId="0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left" wrapText="1"/>
    </xf>
    <xf numFmtId="49" fontId="4" fillId="0" borderId="1" xfId="0" applyNumberFormat="1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0" fillId="0" borderId="1" xfId="0" applyFont="1" applyBorder="1" applyAlignment="1"/>
    <xf numFmtId="0" fontId="5" fillId="0" borderId="5" xfId="0" applyFont="1" applyBorder="1" applyAlignment="1">
      <alignment horizontal="left" wrapText="1"/>
    </xf>
    <xf numFmtId="0" fontId="24" fillId="4" borderId="1" xfId="0" applyFont="1" applyFill="1" applyBorder="1" applyAlignment="1">
      <alignment horizontal="center"/>
    </xf>
    <xf numFmtId="14" fontId="4" fillId="3" borderId="0" xfId="0" applyNumberFormat="1" applyFont="1" applyFill="1" applyAlignment="1">
      <alignment horizontal="center"/>
    </xf>
    <xf numFmtId="0" fontId="11" fillId="0" borderId="0" xfId="0" applyFont="1" applyAlignment="1"/>
    <xf numFmtId="49" fontId="30" fillId="4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49" fontId="26" fillId="4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19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1" fillId="0" borderId="1" xfId="0" applyFont="1" applyBorder="1" applyAlignment="1">
      <alignment horizontal="center"/>
    </xf>
    <xf numFmtId="14" fontId="32" fillId="0" borderId="1" xfId="0" applyNumberFormat="1" applyFont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0" fillId="0" borderId="1" xfId="0" applyFont="1" applyBorder="1" applyAlignment="1">
      <alignment horizontal="left" wrapText="1"/>
    </xf>
    <xf numFmtId="49" fontId="4" fillId="0" borderId="1" xfId="0" applyNumberFormat="1" applyFont="1" applyBorder="1" applyAlignment="1">
      <alignment horizontal="center"/>
    </xf>
    <xf numFmtId="0" fontId="6" fillId="0" borderId="0" xfId="0" applyFont="1" applyAlignment="1"/>
    <xf numFmtId="0" fontId="12" fillId="0" borderId="0" xfId="0" applyFont="1" applyAlignment="1"/>
    <xf numFmtId="0" fontId="6" fillId="0" borderId="0" xfId="0" applyFont="1"/>
    <xf numFmtId="0" fontId="5" fillId="6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center" wrapText="1"/>
    </xf>
    <xf numFmtId="49" fontId="6" fillId="6" borderId="1" xfId="0" applyNumberFormat="1" applyFont="1" applyFill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9" fillId="4" borderId="1" xfId="0" applyFont="1" applyFill="1" applyBorder="1"/>
    <xf numFmtId="0" fontId="33" fillId="0" borderId="1" xfId="0" applyFont="1" applyBorder="1" applyAlignment="1">
      <alignment horizontal="center" wrapText="1"/>
    </xf>
    <xf numFmtId="0" fontId="0" fillId="0" borderId="0" xfId="0" applyFont="1" applyAlignment="1"/>
    <xf numFmtId="0" fontId="6" fillId="0" borderId="1" xfId="0" applyFont="1" applyBorder="1"/>
    <xf numFmtId="0" fontId="5" fillId="3" borderId="1" xfId="0" applyFont="1" applyFill="1" applyBorder="1" applyAlignment="1">
      <alignment horizontal="center" wrapText="1"/>
    </xf>
    <xf numFmtId="0" fontId="34" fillId="7" borderId="6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34" fillId="8" borderId="1" xfId="0" applyFont="1" applyFill="1" applyBorder="1" applyAlignment="1">
      <alignment horizontal="center"/>
    </xf>
    <xf numFmtId="0" fontId="34" fillId="7" borderId="1" xfId="0" applyFont="1" applyFill="1" applyBorder="1" applyAlignment="1">
      <alignment horizontal="center"/>
    </xf>
    <xf numFmtId="0" fontId="27" fillId="3" borderId="0" xfId="0" applyFont="1" applyFill="1" applyAlignment="1">
      <alignment horizontal="center"/>
    </xf>
    <xf numFmtId="0" fontId="35" fillId="8" borderId="1" xfId="0" applyFont="1" applyFill="1" applyBorder="1" applyAlignment="1">
      <alignment horizontal="center"/>
    </xf>
    <xf numFmtId="49" fontId="36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 wrapText="1"/>
    </xf>
    <xf numFmtId="0" fontId="37" fillId="8" borderId="1" xfId="0" applyFont="1" applyFill="1" applyBorder="1" applyAlignment="1">
      <alignment horizontal="center"/>
    </xf>
    <xf numFmtId="0" fontId="27" fillId="0" borderId="0" xfId="0" applyFont="1" applyAlignment="1">
      <alignment horizontal="center" wrapText="1"/>
    </xf>
    <xf numFmtId="49" fontId="6" fillId="0" borderId="0" xfId="0" applyNumberFormat="1" applyFont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14" fontId="6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3" borderId="5" xfId="0" applyFont="1" applyFill="1" applyBorder="1" applyAlignment="1">
      <alignment wrapText="1"/>
    </xf>
    <xf numFmtId="0" fontId="38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left" wrapText="1"/>
    </xf>
    <xf numFmtId="1" fontId="4" fillId="0" borderId="1" xfId="0" applyNumberFormat="1" applyFont="1" applyBorder="1" applyAlignment="1">
      <alignment horizontal="center" wrapText="1"/>
    </xf>
    <xf numFmtId="0" fontId="39" fillId="0" borderId="1" xfId="0" applyFont="1" applyBorder="1" applyAlignment="1">
      <alignment horizontal="center" wrapText="1"/>
    </xf>
    <xf numFmtId="0" fontId="35" fillId="4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5" fillId="10" borderId="0" xfId="0" applyFont="1" applyFill="1" applyBorder="1" applyAlignment="1">
      <alignment horizontal="center" wrapText="1"/>
    </xf>
    <xf numFmtId="0" fontId="34" fillId="4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wrapText="1"/>
    </xf>
    <xf numFmtId="0" fontId="40" fillId="11" borderId="1" xfId="0" applyFont="1" applyFill="1" applyBorder="1" applyAlignment="1">
      <alignment horizontal="center" wrapText="1"/>
    </xf>
    <xf numFmtId="0" fontId="34" fillId="8" borderId="0" xfId="0" applyFont="1" applyFill="1" applyAlignment="1">
      <alignment horizontal="center"/>
    </xf>
    <xf numFmtId="14" fontId="6" fillId="0" borderId="1" xfId="0" applyNumberFormat="1" applyFont="1" applyBorder="1" applyAlignment="1"/>
    <xf numFmtId="1" fontId="4" fillId="4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12" borderId="0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14" fontId="4" fillId="0" borderId="1" xfId="0" applyNumberFormat="1" applyFont="1" applyBorder="1" applyAlignment="1"/>
    <xf numFmtId="49" fontId="19" fillId="4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wrapText="1"/>
    </xf>
    <xf numFmtId="49" fontId="41" fillId="4" borderId="1" xfId="0" applyNumberFormat="1" applyFont="1" applyFill="1" applyBorder="1" applyAlignment="1">
      <alignment horizontal="center"/>
    </xf>
    <xf numFmtId="0" fontId="5" fillId="13" borderId="1" xfId="0" applyFont="1" applyFill="1" applyBorder="1" applyAlignment="1">
      <alignment horizontal="left" wrapText="1"/>
    </xf>
    <xf numFmtId="0" fontId="5" fillId="14" borderId="2" xfId="0" applyFont="1" applyFill="1" applyBorder="1" applyAlignment="1">
      <alignment horizontal="center" wrapText="1"/>
    </xf>
    <xf numFmtId="49" fontId="26" fillId="14" borderId="1" xfId="0" applyNumberFormat="1" applyFont="1" applyFill="1" applyBorder="1" applyAlignment="1">
      <alignment horizontal="center" wrapText="1"/>
    </xf>
    <xf numFmtId="0" fontId="7" fillId="14" borderId="1" xfId="0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 wrapText="1"/>
    </xf>
    <xf numFmtId="0" fontId="5" fillId="14" borderId="1" xfId="0" applyFont="1" applyFill="1" applyBorder="1" applyAlignment="1">
      <alignment horizontal="center" wrapText="1"/>
    </xf>
    <xf numFmtId="0" fontId="33" fillId="14" borderId="1" xfId="0" applyFont="1" applyFill="1" applyBorder="1" applyAlignment="1">
      <alignment horizontal="center" wrapText="1"/>
    </xf>
    <xf numFmtId="14" fontId="6" fillId="14" borderId="1" xfId="0" applyNumberFormat="1" applyFont="1" applyFill="1" applyBorder="1" applyAlignment="1">
      <alignment horizontal="center"/>
    </xf>
    <xf numFmtId="14" fontId="42" fillId="14" borderId="1" xfId="0" applyNumberFormat="1" applyFont="1" applyFill="1" applyBorder="1" applyAlignment="1">
      <alignment horizontal="center"/>
    </xf>
    <xf numFmtId="14" fontId="6" fillId="14" borderId="0" xfId="0" applyNumberFormat="1" applyFont="1" applyFill="1" applyAlignment="1">
      <alignment horizontal="center"/>
    </xf>
    <xf numFmtId="0" fontId="12" fillId="14" borderId="0" xfId="0" applyFont="1" applyFill="1" applyAlignment="1"/>
    <xf numFmtId="0" fontId="5" fillId="14" borderId="0" xfId="0" applyFont="1" applyFill="1" applyAlignment="1"/>
    <xf numFmtId="0" fontId="5" fillId="14" borderId="1" xfId="0" applyFont="1" applyFill="1" applyBorder="1"/>
    <xf numFmtId="0" fontId="5" fillId="14" borderId="0" xfId="0" applyFont="1" applyFill="1"/>
    <xf numFmtId="49" fontId="20" fillId="0" borderId="1" xfId="0" applyNumberFormat="1" applyFont="1" applyBorder="1" applyAlignment="1">
      <alignment horizontal="center" wrapText="1"/>
    </xf>
    <xf numFmtId="0" fontId="31" fillId="0" borderId="0" xfId="0" applyFont="1" applyAlignment="1">
      <alignment horizontal="center" wrapText="1"/>
    </xf>
    <xf numFmtId="49" fontId="19" fillId="0" borderId="1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 wrapText="1"/>
    </xf>
    <xf numFmtId="0" fontId="7" fillId="0" borderId="0" xfId="0" applyFont="1" applyAlignment="1"/>
    <xf numFmtId="49" fontId="4" fillId="4" borderId="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4" borderId="1" xfId="0" applyFont="1" applyFill="1" applyBorder="1" applyAlignment="1">
      <alignment horizontal="left" wrapText="1"/>
    </xf>
    <xf numFmtId="0" fontId="19" fillId="4" borderId="1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14" fontId="14" fillId="4" borderId="1" xfId="0" applyNumberFormat="1" applyFont="1" applyFill="1" applyBorder="1" applyAlignment="1">
      <alignment horizontal="center"/>
    </xf>
    <xf numFmtId="14" fontId="32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/>
    <xf numFmtId="0" fontId="7" fillId="4" borderId="1" xfId="0" applyFont="1" applyFill="1" applyBorder="1" applyAlignment="1"/>
    <xf numFmtId="0" fontId="6" fillId="15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7" fillId="0" borderId="2" xfId="0" applyFont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14" fontId="4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62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RH4_XqnsPetIEdCCAcUVptjCLzS_SORp/view?usp=sharing" TargetMode="External"/><Relationship Id="rId299" Type="http://schemas.openxmlformats.org/officeDocument/2006/relationships/hyperlink" Target="https://drive.google.com/file/d/1eXbD6PSulNxyqiMGG42cr6JgLzw4pqPb/view?usp=share_link" TargetMode="External"/><Relationship Id="rId303" Type="http://schemas.openxmlformats.org/officeDocument/2006/relationships/hyperlink" Target="https://drive.google.com/file/d/1DCcG1HsFoqmk2UAPnc79eocbGUBrvZNQ/view?usp=sharing" TargetMode="External"/><Relationship Id="rId21" Type="http://schemas.openxmlformats.org/officeDocument/2006/relationships/hyperlink" Target="https://drive.google.com/file/d/1GN-vjBHt-ZPJs3yN1CgiT630gsAMElGb/view?usp=sharing" TargetMode="External"/><Relationship Id="rId42" Type="http://schemas.openxmlformats.org/officeDocument/2006/relationships/hyperlink" Target="https://drive.google.com/file/d/1CjoxSMZdaztRiPo9XSCKbgfHQ8XVv3KQ/view?usp=sharing" TargetMode="External"/><Relationship Id="rId63" Type="http://schemas.openxmlformats.org/officeDocument/2006/relationships/hyperlink" Target="https://drive.google.com/file/d/1dA0epGGWB36LVXiCBZeqLUomYEdcROu3/view?usp=sharing" TargetMode="External"/><Relationship Id="rId84" Type="http://schemas.openxmlformats.org/officeDocument/2006/relationships/hyperlink" Target="https://drive.google.com/file/d/1z1kUtNmCvJWrBprHJ1V-oLj4WNIVHwq5/view?usp=sharing" TargetMode="External"/><Relationship Id="rId138" Type="http://schemas.openxmlformats.org/officeDocument/2006/relationships/hyperlink" Target="https://drive.google.com/file/d/13V85-Tcf9LLFqy7UwiKFYDx18jUUGxO3/view?usp=sharing" TargetMode="External"/><Relationship Id="rId159" Type="http://schemas.openxmlformats.org/officeDocument/2006/relationships/hyperlink" Target="https://drive.google.com/file/d/1fB-YhCWz1j1yX9fNyLc_vzYFyVsBP0-w/view?usp=sharing" TargetMode="External"/><Relationship Id="rId170" Type="http://schemas.openxmlformats.org/officeDocument/2006/relationships/hyperlink" Target="https://drive.google.com/file/d/1u-e7uIzAlcyoTsyZiKL4bzQ3lFJIzI7q/view?usp=sharing" TargetMode="External"/><Relationship Id="rId191" Type="http://schemas.openxmlformats.org/officeDocument/2006/relationships/hyperlink" Target="https://drive.google.com/file/d/13y1vsPhrC_tCKKIStGV18MeNsY2aDf16/view?usp=sharing" TargetMode="External"/><Relationship Id="rId205" Type="http://schemas.openxmlformats.org/officeDocument/2006/relationships/hyperlink" Target="https://drive.google.com/file/d/1GGb08wLQz6NxAovNcuhb98kZnI-TzIA2/view?usp=sharing" TargetMode="External"/><Relationship Id="rId226" Type="http://schemas.openxmlformats.org/officeDocument/2006/relationships/hyperlink" Target="https://drive.google.com/file/d/1tICCIUg1BL9Bm8QUQfAUsNfd0qFXAZMq/view?usp=sharing" TargetMode="External"/><Relationship Id="rId247" Type="http://schemas.openxmlformats.org/officeDocument/2006/relationships/hyperlink" Target="https://drive.google.com/file/d/1dm1p2mjRPQ53ogZsGB-BXMmKLeEXP4eO/view?usp=sharing" TargetMode="External"/><Relationship Id="rId107" Type="http://schemas.openxmlformats.org/officeDocument/2006/relationships/hyperlink" Target="https://drive.google.com/file/d/1Jvkig54ZmBEPP5SEZzFBVPDegcrC5qak/view?usp=sharing" TargetMode="External"/><Relationship Id="rId268" Type="http://schemas.openxmlformats.org/officeDocument/2006/relationships/hyperlink" Target="https://drive.google.com/file/d/16VZug6JODlcfDCxy0M_6P_OE3RLjdhn1/view?usp=sharing" TargetMode="External"/><Relationship Id="rId289" Type="http://schemas.openxmlformats.org/officeDocument/2006/relationships/hyperlink" Target="https://drive.google.com/file/d/1Wdjz9hlqXQ89gUupCmIn5dHxBgUg2Ms1/view?usp=sharing" TargetMode="External"/><Relationship Id="rId11" Type="http://schemas.openxmlformats.org/officeDocument/2006/relationships/hyperlink" Target="https://drive.google.com/file/d/1G3uO7Tzneae0r2VNjdEdmECRlTQ61eL5/view?usp=sharing" TargetMode="External"/><Relationship Id="rId32" Type="http://schemas.openxmlformats.org/officeDocument/2006/relationships/hyperlink" Target="https://drive.google.com/file/d/1YUIGPAp6CZpGWSxTdBkyVi8pXVTg7Ddx/view?usp=sharing" TargetMode="External"/><Relationship Id="rId53" Type="http://schemas.openxmlformats.org/officeDocument/2006/relationships/hyperlink" Target="https://drive.google.com/file/d/1MP4TiAPm-HuddP2HzWdicnCzB904MyqO/view?usp=sharing" TargetMode="External"/><Relationship Id="rId74" Type="http://schemas.openxmlformats.org/officeDocument/2006/relationships/hyperlink" Target="https://drive.google.com/file/d/1YrwHkBXHMGTj5Wsnb9Qmfdvnrc4UwRqU/view?usp=sharing" TargetMode="External"/><Relationship Id="rId128" Type="http://schemas.openxmlformats.org/officeDocument/2006/relationships/hyperlink" Target="https://drive.google.com/file/d/12oSUboyCZ2h28qlYMnnvgnHS4fv85v2Q/view?usp=share_link" TargetMode="External"/><Relationship Id="rId149" Type="http://schemas.openxmlformats.org/officeDocument/2006/relationships/hyperlink" Target="https://drive.google.com/file/d/1YlW5FvK9WQoKYBGNvZtP4PNxIezF7lGS/view?usp=sharing" TargetMode="External"/><Relationship Id="rId314" Type="http://schemas.openxmlformats.org/officeDocument/2006/relationships/hyperlink" Target="https://drive.google.com/file/d/1vifKW7CgIrby8ESZ3Q6w0ncoN0EDoZyg/view?usp=sharing" TargetMode="External"/><Relationship Id="rId5" Type="http://schemas.openxmlformats.org/officeDocument/2006/relationships/hyperlink" Target="https://drive.google.com/file/d/1c8QeI0GOpgl5cRXG2cdGPV8ajblO_J2S/view?usp=sharing" TargetMode="External"/><Relationship Id="rId95" Type="http://schemas.openxmlformats.org/officeDocument/2006/relationships/hyperlink" Target="https://drive.google.com/file/d/1EBJwx78nzA8nkn-OOuD55JWPij-EZMrK/view?usp=sharing" TargetMode="External"/><Relationship Id="rId160" Type="http://schemas.openxmlformats.org/officeDocument/2006/relationships/hyperlink" Target="https://drive.google.com/file/d/1vMCqPovnfZLK2hkNmdxZ3GiyAfM2rYp_/view?usp=share_link" TargetMode="External"/><Relationship Id="rId181" Type="http://schemas.openxmlformats.org/officeDocument/2006/relationships/hyperlink" Target="https://drive.google.com/file/d/13rY5Z2hjORorR17SO9g8WvoST4SLNCCS/view?usp=sharing" TargetMode="External"/><Relationship Id="rId216" Type="http://schemas.openxmlformats.org/officeDocument/2006/relationships/hyperlink" Target="https://drive.google.com/file/d/1N2V1c3VKaIKl3O-ToqW-7lvus8wwc--6/view?usp=sharing" TargetMode="External"/><Relationship Id="rId237" Type="http://schemas.openxmlformats.org/officeDocument/2006/relationships/hyperlink" Target="https://drive.google.com/file/d/16FNTUJHjwIFBRhnvuk19qChL59znr_88/view?usp=sharing" TargetMode="External"/><Relationship Id="rId258" Type="http://schemas.openxmlformats.org/officeDocument/2006/relationships/hyperlink" Target="https://drive.google.com/file/d/19cRVyw_2bdgi-w1UCmDryT-QN2CtVvhU/view?usp=sharing" TargetMode="External"/><Relationship Id="rId279" Type="http://schemas.openxmlformats.org/officeDocument/2006/relationships/hyperlink" Target="https://drive.google.com/file/d/1ZlrXNM6iHd3x5aPmFY89dj3n--L-vLqx/view?usp=sharing" TargetMode="External"/><Relationship Id="rId22" Type="http://schemas.openxmlformats.org/officeDocument/2006/relationships/hyperlink" Target="https://drive.google.com/file/d/1GN-vjBHt-ZPJs3yN1CgiT630gsAMElGb/view?usp=sharing" TargetMode="External"/><Relationship Id="rId43" Type="http://schemas.openxmlformats.org/officeDocument/2006/relationships/hyperlink" Target="https://drive.google.com/file/d/1FV518ORW2gcnv-Jp9UQhNUFtvczx_g5a/view?usp=sharing" TargetMode="External"/><Relationship Id="rId64" Type="http://schemas.openxmlformats.org/officeDocument/2006/relationships/hyperlink" Target="https://drive.google.com/file/d/1Q8fDVS6vFOtqrKbx-8GdmewNTw04t_zh/view?usp=sharing" TargetMode="External"/><Relationship Id="rId118" Type="http://schemas.openxmlformats.org/officeDocument/2006/relationships/hyperlink" Target="https://drive.google.com/file/d/1iV6nCneVVFdXpN7B_h6GBDMQgHuy8XaF/view?usp=sharing" TargetMode="External"/><Relationship Id="rId139" Type="http://schemas.openxmlformats.org/officeDocument/2006/relationships/hyperlink" Target="https://drive.google.com/file/d/13V85-Tcf9LLFqy7UwiKFYDx18jUUGxO3/view?usp=sharing" TargetMode="External"/><Relationship Id="rId290" Type="http://schemas.openxmlformats.org/officeDocument/2006/relationships/hyperlink" Target="https://drive.google.com/file/d/10HiPmDxglBHzWpl6v5BxLoKxikIiLa29/view?usp=sharing" TargetMode="External"/><Relationship Id="rId304" Type="http://schemas.openxmlformats.org/officeDocument/2006/relationships/hyperlink" Target="https://drive.google.com/file/d/1ALQJMJuxiHxkh6C_o8uFFcNpbK5y8L73/view?usp=drive_link" TargetMode="External"/><Relationship Id="rId85" Type="http://schemas.openxmlformats.org/officeDocument/2006/relationships/hyperlink" Target="https://drive.google.com/file/d/1Gy0wqmRkaNArmw0MJAJRtFcaC_5EqaAw/view?usp=sharing" TargetMode="External"/><Relationship Id="rId150" Type="http://schemas.openxmlformats.org/officeDocument/2006/relationships/hyperlink" Target="https://drive.google.com/file/d/1NNWKvvQeRmJm4Jx-ZTrrr2jD8WDOB2fW/view?usp=share_link" TargetMode="External"/><Relationship Id="rId171" Type="http://schemas.openxmlformats.org/officeDocument/2006/relationships/hyperlink" Target="https://drive.google.com/file/d/13V85-Tcf9LLFqy7UwiKFYDx18jUUGxO3/view?usp=sharing" TargetMode="External"/><Relationship Id="rId192" Type="http://schemas.openxmlformats.org/officeDocument/2006/relationships/hyperlink" Target="https://drive.google.com/file/d/17htnMGBnyrs0NJ6nnYxubwP_GLy6XCKm/view?usp=sharing" TargetMode="External"/><Relationship Id="rId206" Type="http://schemas.openxmlformats.org/officeDocument/2006/relationships/hyperlink" Target="https://drive.google.com/file/d/1yCJauBh5XBk3WT_8wbW6jbuY1XGfP9Gr/view?usp=sharing" TargetMode="External"/><Relationship Id="rId227" Type="http://schemas.openxmlformats.org/officeDocument/2006/relationships/hyperlink" Target="https://drive.google.com/file/d/1SjUeypD_bFO-IFHvSNG0QZQK2xzRbOtD/view?usp=sharing" TargetMode="External"/><Relationship Id="rId248" Type="http://schemas.openxmlformats.org/officeDocument/2006/relationships/hyperlink" Target="https://drive.google.com/file/d/1EVAlxiTSZ83C6tsroyZxdGP1aXpkB5Vh/view?usp=sharing" TargetMode="External"/><Relationship Id="rId269" Type="http://schemas.openxmlformats.org/officeDocument/2006/relationships/hyperlink" Target="https://drive.google.com/file/d/1jIaJkQGjH811hRfgmSrlqInvCC6ueI98/view?usp=sharing" TargetMode="External"/><Relationship Id="rId12" Type="http://schemas.openxmlformats.org/officeDocument/2006/relationships/hyperlink" Target="https://drive.google.com/file/d/1PfIspsbWMwT06-qZOuHcTQ8VLSAUEugs/view?usp=sharing" TargetMode="External"/><Relationship Id="rId33" Type="http://schemas.openxmlformats.org/officeDocument/2006/relationships/hyperlink" Target="https://drive.google.com/file/d/1wbga2o1PRDf8f3akqEtwbWhMiJeeKoZ1/view?usp=sharing" TargetMode="External"/><Relationship Id="rId108" Type="http://schemas.openxmlformats.org/officeDocument/2006/relationships/hyperlink" Target="https://drive.google.com/file/d/14BD5Fm_EbQrOr0jMAW-i92rE-Kj4E-H6/view?usp=sharing" TargetMode="External"/><Relationship Id="rId129" Type="http://schemas.openxmlformats.org/officeDocument/2006/relationships/hyperlink" Target="https://drive.google.com/file/d/1388rSujIcfoVkRz5P48fY2JlLcMUSDWq/view?usp=sharing" TargetMode="External"/><Relationship Id="rId280" Type="http://schemas.openxmlformats.org/officeDocument/2006/relationships/hyperlink" Target="https://drive.google.com/file/d/1ntpjUM8Pm1ywh-BUql_l4eKhvRnNQioD/view?usp=sharing" TargetMode="External"/><Relationship Id="rId315" Type="http://schemas.openxmlformats.org/officeDocument/2006/relationships/hyperlink" Target="https://drive.google.com/file/d/1DiHFAfLFabPYpa6GQ7EgYDSl8XBHqO8g/view?usp=sharing" TargetMode="External"/><Relationship Id="rId54" Type="http://schemas.openxmlformats.org/officeDocument/2006/relationships/hyperlink" Target="https://drive.google.com/file/d/1MP4TiAPm-HuddP2HzWdicnCzB904MyqO/view?usp=sharing" TargetMode="External"/><Relationship Id="rId75" Type="http://schemas.openxmlformats.org/officeDocument/2006/relationships/hyperlink" Target="https://drive.google.com/file/d/1-7tBf6gcxlQwSB8mXEgU487z4MWXczjS/view?usp=sharing" TargetMode="External"/><Relationship Id="rId96" Type="http://schemas.openxmlformats.org/officeDocument/2006/relationships/hyperlink" Target="https://drive.google.com/file/d/1fPRhn-Fzdj639GidgoMV59tr1l8_YAld/view?usp=sharing" TargetMode="External"/><Relationship Id="rId140" Type="http://schemas.openxmlformats.org/officeDocument/2006/relationships/hyperlink" Target="https://drive.google.com/file/d/1fdwimAsd0VKL5QBUEBMsugpKrhJe1vS_/view?usp=sharing" TargetMode="External"/><Relationship Id="rId161" Type="http://schemas.openxmlformats.org/officeDocument/2006/relationships/hyperlink" Target="https://drive.google.com/file/d/1KAyEQYpMK7bFCiSVnxixQOg33HZ8Z5UO/view?usp=sharing" TargetMode="External"/><Relationship Id="rId182" Type="http://schemas.openxmlformats.org/officeDocument/2006/relationships/hyperlink" Target="https://drive.google.com/file/d/16AZ0ATkRADAdqqAM2yCcZZfpOeub48TI/view?usp=drive_link" TargetMode="External"/><Relationship Id="rId217" Type="http://schemas.openxmlformats.org/officeDocument/2006/relationships/hyperlink" Target="https://drive.google.com/file/d/18vjhRzMoUYfSZfg0ZYTRnEFvN3lZ67Yx/view?usp=sharing" TargetMode="External"/><Relationship Id="rId6" Type="http://schemas.openxmlformats.org/officeDocument/2006/relationships/hyperlink" Target="https://drive.google.com/file/d/1Jx7FSuegnOiNb25DpGiDeYJ8Qw_BKmFQ/view?usp=sharing" TargetMode="External"/><Relationship Id="rId238" Type="http://schemas.openxmlformats.org/officeDocument/2006/relationships/hyperlink" Target="https://drive.google.com/file/d/1Rwh5dVRH5nO84S0zgzgsu7fESKFQUhe0/view?usp=sharing" TargetMode="External"/><Relationship Id="rId259" Type="http://schemas.openxmlformats.org/officeDocument/2006/relationships/hyperlink" Target="https://drive.google.com/file/d/1V9N-g2T-4VvXKutSxTf3AFMb1hvbbQb8/view?usp=sharing" TargetMode="External"/><Relationship Id="rId23" Type="http://schemas.openxmlformats.org/officeDocument/2006/relationships/hyperlink" Target="https://drive.google.com/file/d/1m7aKkrz5EqyfkUoxQnHh8DQ8AsPpWwM5/view?usp=sharing" TargetMode="External"/><Relationship Id="rId119" Type="http://schemas.openxmlformats.org/officeDocument/2006/relationships/hyperlink" Target="https://drive.google.com/file/d/1rlPC2Z3iL2lFH5jvX6U56MrHn-TIxL-z/view?usp=sharing" TargetMode="External"/><Relationship Id="rId270" Type="http://schemas.openxmlformats.org/officeDocument/2006/relationships/hyperlink" Target="https://drive.google.com/file/d/1NwTL27d93fanb62JqOecIpJ7I7WEqWGc/view?usp=sharing" TargetMode="External"/><Relationship Id="rId291" Type="http://schemas.openxmlformats.org/officeDocument/2006/relationships/hyperlink" Target="https://drive.google.com/file/d/1IIs-rApniKg4uapa01vMVjRt-y02lS36/view?usp=sharing" TargetMode="External"/><Relationship Id="rId305" Type="http://schemas.openxmlformats.org/officeDocument/2006/relationships/hyperlink" Target="https://drive.google.com/file/d/1J4VmAwfAMRoc7YAvLgWKoue266LqniD_/view?usp=sharing" TargetMode="External"/><Relationship Id="rId44" Type="http://schemas.openxmlformats.org/officeDocument/2006/relationships/hyperlink" Target="https://drive.google.com/file/d/1ZuUCuS9LCZz0iRBrW0eEjJqQU2k00cdv/view?usp=sharing" TargetMode="External"/><Relationship Id="rId65" Type="http://schemas.openxmlformats.org/officeDocument/2006/relationships/hyperlink" Target="https://drive.google.com/file/d/1bGfQaJVBazIOnIbTMF4iaRNJNKe_vyfJ/view?usp=sharing" TargetMode="External"/><Relationship Id="rId86" Type="http://schemas.openxmlformats.org/officeDocument/2006/relationships/hyperlink" Target="https://drive.google.com/file/d/1hZsHcG1PCDoEGdiiQlBpznVtSiztKj1F/view?usp=sharing" TargetMode="External"/><Relationship Id="rId130" Type="http://schemas.openxmlformats.org/officeDocument/2006/relationships/hyperlink" Target="https://drive.google.com/file/d/1388rSujIcfoVkRz5P48fY2JlLcMUSDWq/view?usp=sharing" TargetMode="External"/><Relationship Id="rId151" Type="http://schemas.openxmlformats.org/officeDocument/2006/relationships/hyperlink" Target="https://drive.google.com/file/d/14eRxXc7w3aAKdlBex3XxX0Ow9cuzFD39/view?usp=sharing" TargetMode="External"/><Relationship Id="rId172" Type="http://schemas.openxmlformats.org/officeDocument/2006/relationships/hyperlink" Target="https://drive.google.com/file/d/19dWFSsnU-eD94BCoCbKTVTHiV1E-xyJj/view?usp=sharing" TargetMode="External"/><Relationship Id="rId193" Type="http://schemas.openxmlformats.org/officeDocument/2006/relationships/hyperlink" Target="https://drive.google.com/file/d/1SJOkugVCjkNc4XXDJ6Q6GhJneQG5aGLG/view?usp=share_link" TargetMode="External"/><Relationship Id="rId207" Type="http://schemas.openxmlformats.org/officeDocument/2006/relationships/hyperlink" Target="https://drive.google.com/file/d/1hsV2oeobesnu0f69qj9iPrx3da5RDnlm/view?usp=sharing" TargetMode="External"/><Relationship Id="rId228" Type="http://schemas.openxmlformats.org/officeDocument/2006/relationships/hyperlink" Target="https://drive.google.com/file/d/14FYky4BiqUrYWvuNRzuDmVT_DjmrHmUY/view?usp=sharing" TargetMode="External"/><Relationship Id="rId249" Type="http://schemas.openxmlformats.org/officeDocument/2006/relationships/hyperlink" Target="https://drive.google.com/file/d/1YCAGkhOs5_CP1Fy0iN2mbeRq3AtAOiW7/view?usp=sharing" TargetMode="External"/><Relationship Id="rId13" Type="http://schemas.openxmlformats.org/officeDocument/2006/relationships/hyperlink" Target="https://drive.google.com/file/d/1LnNxJt3RPrEems1OtsW0f2pzIlngi6_p/view?usp=sharing" TargetMode="External"/><Relationship Id="rId109" Type="http://schemas.openxmlformats.org/officeDocument/2006/relationships/hyperlink" Target="https://drive.google.com/file/d/1r-4gMCatjOQdXVFT09OsVmJ_Skz0BQVg/view?usp=sharing" TargetMode="External"/><Relationship Id="rId260" Type="http://schemas.openxmlformats.org/officeDocument/2006/relationships/hyperlink" Target="https://drive.google.com/file/d/18w3cl-o4xdxyS3rc7a5YbmkDwUszyU4D/view?usp=sharing" TargetMode="External"/><Relationship Id="rId281" Type="http://schemas.openxmlformats.org/officeDocument/2006/relationships/hyperlink" Target="https://drive.google.com/file/d/1u8S3jn5g__ulcb43nYrILS4IbSqrr25N/view?usp=sharing" TargetMode="External"/><Relationship Id="rId316" Type="http://schemas.openxmlformats.org/officeDocument/2006/relationships/hyperlink" Target="https://drive.google.com/file/d/1qbO6h-R8lPbNe_6hc24LVTFsM173NFDE/view?usp=sharing" TargetMode="External"/><Relationship Id="rId34" Type="http://schemas.openxmlformats.org/officeDocument/2006/relationships/hyperlink" Target="https://drive.google.com/file/d/1wbga2o1PRDf8f3akqEtwbWhMiJeeKoZ1/view?usp=sharing" TargetMode="External"/><Relationship Id="rId55" Type="http://schemas.openxmlformats.org/officeDocument/2006/relationships/hyperlink" Target="https://drive.google.com/file/d/11yY3hm8BqcnE0MA8mX3DUYK9KsdRDLEk/view?usp=sharing" TargetMode="External"/><Relationship Id="rId76" Type="http://schemas.openxmlformats.org/officeDocument/2006/relationships/hyperlink" Target="https://drive.google.com/file/d/1KNihjZY6Jlist8yNljWGgMEb-xzhUFOU/view?usp=sharing" TargetMode="External"/><Relationship Id="rId97" Type="http://schemas.openxmlformats.org/officeDocument/2006/relationships/hyperlink" Target="https://drive.google.com/file/d/12dSMdQtC49Ay9PZp0reV1rRcbTiqUH9T/view?usp=sharing" TargetMode="External"/><Relationship Id="rId120" Type="http://schemas.openxmlformats.org/officeDocument/2006/relationships/hyperlink" Target="https://drive.google.com/file/d/1vu74w_TxDrb76EOl-iUAAssrA-0NbYZ3/view?usp=sharing" TargetMode="External"/><Relationship Id="rId141" Type="http://schemas.openxmlformats.org/officeDocument/2006/relationships/hyperlink" Target="https://drive.google.com/file/d/1zt8Kc8Fbg_Po5miMe-TTzMCyvjGHcSC7/view?usp=share_link" TargetMode="External"/><Relationship Id="rId7" Type="http://schemas.openxmlformats.org/officeDocument/2006/relationships/hyperlink" Target="https://drive.google.com/file/d/1FdEOECLLw489lDRNvuD6HuZBwEtKkP-T/view?usp=sharing" TargetMode="External"/><Relationship Id="rId162" Type="http://schemas.openxmlformats.org/officeDocument/2006/relationships/hyperlink" Target="https://drive.google.com/file/d/1g0CtJvkRIrfPn3hgoftc3SMQUxaVf19U/view?usp=share_link" TargetMode="External"/><Relationship Id="rId183" Type="http://schemas.openxmlformats.org/officeDocument/2006/relationships/hyperlink" Target="https://drive.google.com/file/d/1FOuKwbslAMhrFcs4dMlo7bf81gX3_tI2/view?usp=sharing" TargetMode="External"/><Relationship Id="rId218" Type="http://schemas.openxmlformats.org/officeDocument/2006/relationships/hyperlink" Target="https://drive.google.com/file/d/14461BUV9aY5YXOzo1R5AtQvkKOuWymQz/view?usp=sharing" TargetMode="External"/><Relationship Id="rId239" Type="http://schemas.openxmlformats.org/officeDocument/2006/relationships/hyperlink" Target="https://drive.google.com/file/d/1CfDTtx6bvjcXL9disl3fi3-Z7xVg3F01/view?usp=sharing" TargetMode="External"/><Relationship Id="rId250" Type="http://schemas.openxmlformats.org/officeDocument/2006/relationships/hyperlink" Target="https://drive.google.com/file/d/1foRWzJG8D6A1c4-4p71M3RENEcg2wvZ8/view?usp=sharing" TargetMode="External"/><Relationship Id="rId271" Type="http://schemas.openxmlformats.org/officeDocument/2006/relationships/hyperlink" Target="https://drive.google.com/file/d/1yMp-GXWSir6PJvGd5fFDSm8S977bJUvk/view?usp=sharing" TargetMode="External"/><Relationship Id="rId292" Type="http://schemas.openxmlformats.org/officeDocument/2006/relationships/hyperlink" Target="https://drive.google.com/file/d/1tXc2cv-xZLxtDfzyqH-Y7qoobAgShpU9/view?usp=sharing" TargetMode="External"/><Relationship Id="rId306" Type="http://schemas.openxmlformats.org/officeDocument/2006/relationships/hyperlink" Target="https://drive.google.com/file/d/1jfRpHAKpd8LxpA8-ZYVzqMwbqJQJp3jL/view?usp=drive_link" TargetMode="External"/><Relationship Id="rId24" Type="http://schemas.openxmlformats.org/officeDocument/2006/relationships/hyperlink" Target="https://drive.google.com/file/d/1K9jnJQbXc48HQUzEz85TYnVxSU2ld3Pd/view?usp=sharing" TargetMode="External"/><Relationship Id="rId45" Type="http://schemas.openxmlformats.org/officeDocument/2006/relationships/hyperlink" Target="https://drive.google.com/file/d/1_RWemRR_pdonrkshMk1ltcxGgvX02Ow5/view?usp=sharing" TargetMode="External"/><Relationship Id="rId66" Type="http://schemas.openxmlformats.org/officeDocument/2006/relationships/hyperlink" Target="https://drive.google.com/file/d/1uW2bvZfIHuAZustiLkVLdEOWivbp6DZA/view?usp=sharing" TargetMode="External"/><Relationship Id="rId87" Type="http://schemas.openxmlformats.org/officeDocument/2006/relationships/hyperlink" Target="https://drive.google.com/file/d/1vnfnP_S6UykwUk9j6BCF4ipVNTMcqrPs/view?usp=sharing" TargetMode="External"/><Relationship Id="rId110" Type="http://schemas.openxmlformats.org/officeDocument/2006/relationships/hyperlink" Target="https://drive.google.com/file/d/1F8FEdRE4kiW2n5RwprcKs2SIrJtYywTn/view?usp=sharing" TargetMode="External"/><Relationship Id="rId131" Type="http://schemas.openxmlformats.org/officeDocument/2006/relationships/hyperlink" Target="https://drive.google.com/file/d/1KSOMrmPYND6Upeq_C7SDIO1o_UXbgS4Q/view?usp=sharing" TargetMode="External"/><Relationship Id="rId152" Type="http://schemas.openxmlformats.org/officeDocument/2006/relationships/hyperlink" Target="https://drive.google.com/file/d/1gnJJuY4U4gepk-nU6_DUV5q5PecvhTzs/view?usp=share_link" TargetMode="External"/><Relationship Id="rId173" Type="http://schemas.openxmlformats.org/officeDocument/2006/relationships/hyperlink" Target="https://drive.google.com/file/d/18n_yqmGHlFMygMxWCrCHNVhXZT08mPhh/view?usp=sharing" TargetMode="External"/><Relationship Id="rId194" Type="http://schemas.openxmlformats.org/officeDocument/2006/relationships/hyperlink" Target="https://drive.google.com/file/d/1b5kG7xqoTI_RxBKorDcgJdqycHaocBBm/view?usp=sharing" TargetMode="External"/><Relationship Id="rId208" Type="http://schemas.openxmlformats.org/officeDocument/2006/relationships/hyperlink" Target="https://drive.google.com/file/d/18oecPKeuB99B8uS9W8IyhdpjnlETTgwE/view?usp=sharing" TargetMode="External"/><Relationship Id="rId229" Type="http://schemas.openxmlformats.org/officeDocument/2006/relationships/hyperlink" Target="https://drive.google.com/file/d/14FYky4BiqUrYWvuNRzuDmVT_DjmrHmUY/view?usp=sharing" TargetMode="External"/><Relationship Id="rId19" Type="http://schemas.openxmlformats.org/officeDocument/2006/relationships/hyperlink" Target="https://drive.google.com/file/d/1RQcdbrIrWsgrUWLXV6CkshEdzL-TdHQr/view?usp=sharing" TargetMode="External"/><Relationship Id="rId224" Type="http://schemas.openxmlformats.org/officeDocument/2006/relationships/hyperlink" Target="https://drive.google.com/file/d/1eQSJP6AlBMF2c2krmCPtp1LmGfN-b9ut/view?usp=sharing" TargetMode="External"/><Relationship Id="rId240" Type="http://schemas.openxmlformats.org/officeDocument/2006/relationships/hyperlink" Target="https://drive.google.com/file/d/177_cISHhXrnxDnt_9z8lqcfFOAj-yPFu/view?usp=sharing" TargetMode="External"/><Relationship Id="rId245" Type="http://schemas.openxmlformats.org/officeDocument/2006/relationships/hyperlink" Target="https://drive.google.com/file/d/167cx3Sr8fP8Av7cS88QDJIlBzLlx25Cv/view?usp=sharing" TargetMode="External"/><Relationship Id="rId261" Type="http://schemas.openxmlformats.org/officeDocument/2006/relationships/hyperlink" Target="https://drive.google.com/file/d/11r0xBS6cxlG3GQXQ26OAswcpXAIdPWxf/view?usp=sharing" TargetMode="External"/><Relationship Id="rId266" Type="http://schemas.openxmlformats.org/officeDocument/2006/relationships/hyperlink" Target="https://drive.google.com/file/d/1uJYBdKWWFY68uRD-wBVpZsysp9qGH-kh/view?usp=sharing" TargetMode="External"/><Relationship Id="rId287" Type="http://schemas.openxmlformats.org/officeDocument/2006/relationships/hyperlink" Target="https://drive.google.com/file/d/1baTh4w68pXLNDeJYHO8kQx80dOf6ceGE/view?usp=sharing" TargetMode="External"/><Relationship Id="rId14" Type="http://schemas.openxmlformats.org/officeDocument/2006/relationships/hyperlink" Target="https://drive.google.com/file/d/1LnNxJt3RPrEems1OtsW0f2pzIlngi6_p/view?usp=sharing" TargetMode="External"/><Relationship Id="rId30" Type="http://schemas.openxmlformats.org/officeDocument/2006/relationships/hyperlink" Target="https://drive.google.com/file/d/1yjLHsaakw00gXbmh2pIosgZk6KxHU1yO/view?usp=sharing" TargetMode="External"/><Relationship Id="rId35" Type="http://schemas.openxmlformats.org/officeDocument/2006/relationships/hyperlink" Target="https://drive.google.com/file/d/1WIQtRw6HJtVLoeYuF1Ys95VsJoO1N-bq/view?usp=sharing" TargetMode="External"/><Relationship Id="rId56" Type="http://schemas.openxmlformats.org/officeDocument/2006/relationships/hyperlink" Target="https://drive.google.com/file/d/11yY3hm8BqcnE0MA8mX3DUYK9KsdRDLEk/view?usp=sharing" TargetMode="External"/><Relationship Id="rId77" Type="http://schemas.openxmlformats.org/officeDocument/2006/relationships/hyperlink" Target="https://drive.google.com/file/d/1PfxMS5-pI2w4x8Ppqe1RZoaqgxLxFf8W/view?usp=sharing" TargetMode="External"/><Relationship Id="rId100" Type="http://schemas.openxmlformats.org/officeDocument/2006/relationships/hyperlink" Target="https://drive.google.com/file/d/1ILfh0QWOmy69yaMBwssRB7EjiLLhlsOr/view?usp=sharing" TargetMode="External"/><Relationship Id="rId105" Type="http://schemas.openxmlformats.org/officeDocument/2006/relationships/hyperlink" Target="https://drive.google.com/file/d/1WyXN8iMm9z6MiPbO9PS6F6i_DbYcgvYu/view?usp=sharing" TargetMode="External"/><Relationship Id="rId126" Type="http://schemas.openxmlformats.org/officeDocument/2006/relationships/hyperlink" Target="https://drive.google.com/file/d/1zq6xyIKSIEh2Gyh959U55_3WDW0d0hvO/view?usp=sharing" TargetMode="External"/><Relationship Id="rId147" Type="http://schemas.openxmlformats.org/officeDocument/2006/relationships/hyperlink" Target="https://drive.google.com/file/d/12whDymcLJsIZseWGqlpNmaSPD14XhDxC/view?usp=sharing" TargetMode="External"/><Relationship Id="rId168" Type="http://schemas.openxmlformats.org/officeDocument/2006/relationships/hyperlink" Target="https://drive.google.com/file/d/1eYEBy-01X5Wu5OBaPIfdeLxIilAn_cZ7/view?usp=sharing" TargetMode="External"/><Relationship Id="rId282" Type="http://schemas.openxmlformats.org/officeDocument/2006/relationships/hyperlink" Target="https://drive.google.com/file/d/1-cgjDlvWghsA1rPiccDWRmHTQGQv0aCa/view?usp=share_link" TargetMode="External"/><Relationship Id="rId312" Type="http://schemas.openxmlformats.org/officeDocument/2006/relationships/hyperlink" Target="https://drive.google.com/file/d/1-C5HmI53EbS8M242Wf5EhF82hcScDZSP/view?usp=sharing" TargetMode="External"/><Relationship Id="rId317" Type="http://schemas.openxmlformats.org/officeDocument/2006/relationships/hyperlink" Target="https://drive.google.com/file/d/1D5SWgh_MEJ78kdhwlRU31AzBNethbAhY/view?usp=sharing" TargetMode="External"/><Relationship Id="rId8" Type="http://schemas.openxmlformats.org/officeDocument/2006/relationships/hyperlink" Target="https://drive.google.com/file/d/1FdEOECLLw489lDRNvuD6HuZBwEtKkP-T/view?usp=sharing" TargetMode="External"/><Relationship Id="rId51" Type="http://schemas.openxmlformats.org/officeDocument/2006/relationships/hyperlink" Target="https://drive.google.com/file/d/1Msw3AA05kRhaGAoG6YnAAkNwZwE7ZGjP/view?usp=sharing" TargetMode="External"/><Relationship Id="rId72" Type="http://schemas.openxmlformats.org/officeDocument/2006/relationships/hyperlink" Target="https://drive.google.com/file/d/13axnxxy9EeIP5g_gQWds-Faro0zO6h8x/view?usp=sharing" TargetMode="External"/><Relationship Id="rId93" Type="http://schemas.openxmlformats.org/officeDocument/2006/relationships/hyperlink" Target="https://drive.google.com/file/d/103oq1G6u12SbusZUnPVGNrZ3Q1E0up_A/view?usp=sharing" TargetMode="External"/><Relationship Id="rId98" Type="http://schemas.openxmlformats.org/officeDocument/2006/relationships/hyperlink" Target="https://drive.google.com/file/d/1XAV1viewKoCHkrmVHqL-l1vMCfSh-hJC/view?usp=sharing" TargetMode="External"/><Relationship Id="rId121" Type="http://schemas.openxmlformats.org/officeDocument/2006/relationships/hyperlink" Target="https://drive.google.com/file/d/1f7reu0VtBheRB6MMm0toYHQr2DcOOp87/view?usp=sharing" TargetMode="External"/><Relationship Id="rId142" Type="http://schemas.openxmlformats.org/officeDocument/2006/relationships/hyperlink" Target="https://drive.google.com/file/d/14Z-UwgUmSdVxtR2mSwyudfIDjbvc0Yga/view?usp=sharing" TargetMode="External"/><Relationship Id="rId163" Type="http://schemas.openxmlformats.org/officeDocument/2006/relationships/hyperlink" Target="https://drive.google.com/file/d/1NhVg7RphTWAk8BAG_W_VkGaJeFUtRI-K/view?usp=sharing" TargetMode="External"/><Relationship Id="rId184" Type="http://schemas.openxmlformats.org/officeDocument/2006/relationships/hyperlink" Target="https://drive.google.com/file/d/1NGNaYyvquXLxKuqDGkGR9aiuiQTeX2s_/view?usp=drive_link" TargetMode="External"/><Relationship Id="rId189" Type="http://schemas.openxmlformats.org/officeDocument/2006/relationships/hyperlink" Target="https://drive.google.com/file/d/1EHZs5lscTGwLnydNFJ9VtKZi3zJ9Qwsu/view?usp=drive_link" TargetMode="External"/><Relationship Id="rId219" Type="http://schemas.openxmlformats.org/officeDocument/2006/relationships/hyperlink" Target="https://drive.google.com/file/d/12_PmJ1BHDrgLKvkN_xf0utfWcmpoB29r/view?usp=sharing" TargetMode="External"/><Relationship Id="rId3" Type="http://schemas.openxmlformats.org/officeDocument/2006/relationships/hyperlink" Target="https://drive.google.com/file/d/1LTfhzOifTRCXrIYickfYeYBESSGipmVv/view?usp=sharing" TargetMode="External"/><Relationship Id="rId214" Type="http://schemas.openxmlformats.org/officeDocument/2006/relationships/hyperlink" Target="https://drive.google.com/file/d/1UAp2gJnjRPhMPcpkWQjOSBaLF3jZojC7/view?usp=sharing" TargetMode="External"/><Relationship Id="rId230" Type="http://schemas.openxmlformats.org/officeDocument/2006/relationships/hyperlink" Target="https://drive.google.com/file/d/1T4gIbj3LipePgvebNxfoLCII8Hy2EfU_/view?usp=sharing" TargetMode="External"/><Relationship Id="rId235" Type="http://schemas.openxmlformats.org/officeDocument/2006/relationships/hyperlink" Target="https://drive.google.com/file/d/16eivQy9RtJP4EO-cEZ8i6EQo2TlvTn-Z/view?usp=sharing" TargetMode="External"/><Relationship Id="rId251" Type="http://schemas.openxmlformats.org/officeDocument/2006/relationships/hyperlink" Target="https://drive.google.com/file/d/1lj3IAcwcW4isXScMxeQWnLPjhrOHZWhx/view?usp=sharing" TargetMode="External"/><Relationship Id="rId256" Type="http://schemas.openxmlformats.org/officeDocument/2006/relationships/hyperlink" Target="https://drive.google.com/file/d/13fwdlRQAsQ1ZYl5DhU0IrJXQQFmOAUyn/view?usp=sharing" TargetMode="External"/><Relationship Id="rId277" Type="http://schemas.openxmlformats.org/officeDocument/2006/relationships/hyperlink" Target="https://drive.google.com/file/d/154RmERfMjnXpt5Evycne6bT9BQgf6XNZ/view?usp=sharing" TargetMode="External"/><Relationship Id="rId298" Type="http://schemas.openxmlformats.org/officeDocument/2006/relationships/hyperlink" Target="https://drive.google.com/file/d/1xbbN191CWMSPVNIvmO2uJIpNmEi2ntWq/view?usp=sharing" TargetMode="External"/><Relationship Id="rId25" Type="http://schemas.openxmlformats.org/officeDocument/2006/relationships/hyperlink" Target="https://drive.google.com/file/d/1yjxJThCuQZgOWfbD4CvRZohFUDY9d1Nb/view?usp=sharing" TargetMode="External"/><Relationship Id="rId46" Type="http://schemas.openxmlformats.org/officeDocument/2006/relationships/hyperlink" Target="https://drive.google.com/file/d/1_RWemRR_pdonrkshMk1ltcxGgvX02Ow5/view?usp=sharing" TargetMode="External"/><Relationship Id="rId67" Type="http://schemas.openxmlformats.org/officeDocument/2006/relationships/hyperlink" Target="https://drive.google.com/file/d/1-yiNPYnizT0z691T_S7RbC1r1MpxNSin/view?usp=sharing" TargetMode="External"/><Relationship Id="rId116" Type="http://schemas.openxmlformats.org/officeDocument/2006/relationships/hyperlink" Target="https://drive.google.com/file/d/1x_83BxR_60tgIHBGlKc79snNF8P_qspK/view?usp=sharing" TargetMode="External"/><Relationship Id="rId137" Type="http://schemas.openxmlformats.org/officeDocument/2006/relationships/hyperlink" Target="https://drive.google.com/file/d/108m5NZdK6sKCXlteeSDoT0VDXgiaSJ0F/view?usp=share_link" TargetMode="External"/><Relationship Id="rId158" Type="http://schemas.openxmlformats.org/officeDocument/2006/relationships/hyperlink" Target="https://drive.google.com/file/d/1gX3fUNfqiYW4gM-EDYcKeJwBrXK0w6pZ/view?usp=share_link" TargetMode="External"/><Relationship Id="rId272" Type="http://schemas.openxmlformats.org/officeDocument/2006/relationships/hyperlink" Target="https://drive.google.com/file/d/1KcLSPxWRYgve3XGOdT5jKVaDc8FMZF9C/view?usp=sharing" TargetMode="External"/><Relationship Id="rId293" Type="http://schemas.openxmlformats.org/officeDocument/2006/relationships/hyperlink" Target="https://drive.google.com/file/d/1MmxnSfvE8jHicyxA_v-xk6LIqxdh9f9x/view?usp=sharing" TargetMode="External"/><Relationship Id="rId302" Type="http://schemas.openxmlformats.org/officeDocument/2006/relationships/hyperlink" Target="https://drive.google.com/file/d/19aQ3ilOwbN_szfjdkhXZveTi5taWKfcJ/view?usp=sharing" TargetMode="External"/><Relationship Id="rId307" Type="http://schemas.openxmlformats.org/officeDocument/2006/relationships/hyperlink" Target="https://drive.google.com/file/d/1btHO1KYyLTx7MpsqQpsVIed6_eyVQZq9/view?usp=sharing" TargetMode="External"/><Relationship Id="rId20" Type="http://schemas.openxmlformats.org/officeDocument/2006/relationships/hyperlink" Target="https://drive.google.com/file/d/1vlRr0b6ekUvIJwtYLlpHbnL_5n62yScr/view?usp=sharing" TargetMode="External"/><Relationship Id="rId41" Type="http://schemas.openxmlformats.org/officeDocument/2006/relationships/hyperlink" Target="https://drive.google.com/file/d/1W2xJfVDvSNKBquYzL39dj9vxigtodDV8/view?usp=sharing" TargetMode="External"/><Relationship Id="rId62" Type="http://schemas.openxmlformats.org/officeDocument/2006/relationships/hyperlink" Target="https://drive.google.com/file/d/1aDNwf3xOlbxt6xcj-F6aKSWGRYIM-NDi/view?usp=share_link" TargetMode="External"/><Relationship Id="rId83" Type="http://schemas.openxmlformats.org/officeDocument/2006/relationships/hyperlink" Target="https://drive.google.com/file/d/1WivhTRX8k92HboWqoXrcBm_8xeY-JczG/view?usp=sharing" TargetMode="External"/><Relationship Id="rId88" Type="http://schemas.openxmlformats.org/officeDocument/2006/relationships/hyperlink" Target="https://drive.google.com/file/d/1dCPPNIKivVXQQYQwjlcg0a2RxLwdM5dm/view?usp=sharing" TargetMode="External"/><Relationship Id="rId111" Type="http://schemas.openxmlformats.org/officeDocument/2006/relationships/hyperlink" Target="https://drive.google.com/file/d/1iDyfIZGZJSfhSVV20tzvKriH6wCLVYfQ/view?usp=sharing" TargetMode="External"/><Relationship Id="rId132" Type="http://schemas.openxmlformats.org/officeDocument/2006/relationships/hyperlink" Target="https://drive.google.com/file/d/1KSOMrmPYND6Upeq_C7SDIO1o_UXbgS4Q/view?usp=sharing" TargetMode="External"/><Relationship Id="rId153" Type="http://schemas.openxmlformats.org/officeDocument/2006/relationships/hyperlink" Target="https://drive.google.com/file/d/1ehIgpaBzk44LvHKQeBTF9ZXw3WSGwXm0/view?usp=sharing" TargetMode="External"/><Relationship Id="rId174" Type="http://schemas.openxmlformats.org/officeDocument/2006/relationships/hyperlink" Target="https://drive.google.com/file/d/1l9BsUvwVMyoYsc9P3BE2FJo1sXTeWG9S/view?usp=sharing" TargetMode="External"/><Relationship Id="rId179" Type="http://schemas.openxmlformats.org/officeDocument/2006/relationships/hyperlink" Target="https://drive.google.com/file/d/1JgNVBw3EjbyRmbXlRoWGR_D2nVlgIPmJ/view?usp=sharing" TargetMode="External"/><Relationship Id="rId195" Type="http://schemas.openxmlformats.org/officeDocument/2006/relationships/hyperlink" Target="https://drive.google.com/file/d/1aqtaFCSSiBoVOA1HzRN22UPKvnLjyCZH/view?usp=sharing" TargetMode="External"/><Relationship Id="rId209" Type="http://schemas.openxmlformats.org/officeDocument/2006/relationships/hyperlink" Target="https://drive.google.com/file/d/1Crwc_9yoq2XkqSj67Dficb_HN99RmDup/view?usp=sharing" TargetMode="External"/><Relationship Id="rId190" Type="http://schemas.openxmlformats.org/officeDocument/2006/relationships/hyperlink" Target="https://drive.google.com/file/d/1Hn6vS9VMusZqO4zsLV1yE40YrRXS1y-f/view?usp=sharing" TargetMode="External"/><Relationship Id="rId204" Type="http://schemas.openxmlformats.org/officeDocument/2006/relationships/hyperlink" Target="https://drive.google.com/file/d/1xYp4ECT8IWiUF_a2cpnuKiHQqL-dTyIg/view?usp=sharing" TargetMode="External"/><Relationship Id="rId220" Type="http://schemas.openxmlformats.org/officeDocument/2006/relationships/hyperlink" Target="https://drive.google.com/file/d/10_6y6pUQi-CH1ifIUFW90OEUfjqf_Mk4/view?usp=sharing" TargetMode="External"/><Relationship Id="rId225" Type="http://schemas.openxmlformats.org/officeDocument/2006/relationships/hyperlink" Target="https://drive.google.com/file/d/1wIAHVzYax6cULGYa2dLlqmyHvYlpvknE/view?usp=sharing" TargetMode="External"/><Relationship Id="rId241" Type="http://schemas.openxmlformats.org/officeDocument/2006/relationships/hyperlink" Target="https://drive.google.com/file/d/1xfSO-dKAib_BvQUEqMwtAo-TjOlk5CjY/view?usp=sharing" TargetMode="External"/><Relationship Id="rId246" Type="http://schemas.openxmlformats.org/officeDocument/2006/relationships/hyperlink" Target="https://drive.google.com/file/d/1YCAGkhOs5_CP1Fy0iN2mbeRq3AtAOiW7/view?usp=sharing" TargetMode="External"/><Relationship Id="rId267" Type="http://schemas.openxmlformats.org/officeDocument/2006/relationships/hyperlink" Target="https://drive.google.com/file/d/1zsxoYr2-d9mGaKxPf3fooHElcUp3OdNe/view?usp=sharing" TargetMode="External"/><Relationship Id="rId288" Type="http://schemas.openxmlformats.org/officeDocument/2006/relationships/hyperlink" Target="https://drive.google.com/file/d/1eX_lSxb_Y5sFezzB7sgC0OnU57lnHp2C/view?usp=sharing" TargetMode="External"/><Relationship Id="rId15" Type="http://schemas.openxmlformats.org/officeDocument/2006/relationships/hyperlink" Target="https://drive.google.com/file/d/1uDDSJotyiHD5aJpwKBnhH1WcFHy8KepI/view?usp=sharing" TargetMode="External"/><Relationship Id="rId36" Type="http://schemas.openxmlformats.org/officeDocument/2006/relationships/hyperlink" Target="https://drive.google.com/file/d/1WIQtRw6HJtVLoeYuF1Ys95VsJoO1N-bq/view?usp=sharing" TargetMode="External"/><Relationship Id="rId57" Type="http://schemas.openxmlformats.org/officeDocument/2006/relationships/hyperlink" Target="https://drive.google.com/file/d/1gc_yeexaTW6IytdTERy_0n7jaHj5PxaU/view?usp=sharing" TargetMode="External"/><Relationship Id="rId106" Type="http://schemas.openxmlformats.org/officeDocument/2006/relationships/hyperlink" Target="https://drive.google.com/file/d/14NncRfKeN74pZUwPE_ZBFmty7doJnJNt/view?usp=sharing" TargetMode="External"/><Relationship Id="rId127" Type="http://schemas.openxmlformats.org/officeDocument/2006/relationships/hyperlink" Target="https://drive.google.com/file/d/1LdOFN5tuaoTwzO_wiLQuGOHHxS-CQ2Jo/view?usp=sharing" TargetMode="External"/><Relationship Id="rId262" Type="http://schemas.openxmlformats.org/officeDocument/2006/relationships/hyperlink" Target="https://drive.google.com/file/d/19KurNjV_l-MiA8KR3oid6_tIlWqPvMg0/view?usp=sharing" TargetMode="External"/><Relationship Id="rId283" Type="http://schemas.openxmlformats.org/officeDocument/2006/relationships/hyperlink" Target="https://drive.google.com/file/d/1WOVnb7e6Ha_fLzTXomsYVp19u8QICp5e/view?usp=sharing" TargetMode="External"/><Relationship Id="rId313" Type="http://schemas.openxmlformats.org/officeDocument/2006/relationships/hyperlink" Target="https://drive.google.com/file/d/12rIjm90A3myxEIur608ya4DXp8MfLEiA/view?usp=drive_link" TargetMode="External"/><Relationship Id="rId318" Type="http://schemas.openxmlformats.org/officeDocument/2006/relationships/hyperlink" Target="https://drive.google.com/file/d/1IJRsCADeSJGRQ-FI7sIuaAOsWkbBgKWo/view?usp=sharing" TargetMode="External"/><Relationship Id="rId10" Type="http://schemas.openxmlformats.org/officeDocument/2006/relationships/hyperlink" Target="https://drive.google.com/file/d/1i2NEl5FCJiO6CoxsABIAo72V-0WKbsMj/view?usp=sharing" TargetMode="External"/><Relationship Id="rId31" Type="http://schemas.openxmlformats.org/officeDocument/2006/relationships/hyperlink" Target="https://drive.google.com/file/d/1YUIGPAp6CZpGWSxTdBkyVi8pXVTg7Ddx/view?usp=sharing" TargetMode="External"/><Relationship Id="rId52" Type="http://schemas.openxmlformats.org/officeDocument/2006/relationships/hyperlink" Target="https://drive.google.com/file/d/1bt6fDQoAv92vpDX-xNUHG0aM2ar3gKcE/view?usp=share_link" TargetMode="External"/><Relationship Id="rId73" Type="http://schemas.openxmlformats.org/officeDocument/2006/relationships/hyperlink" Target="https://drive.google.com/file/d/1cDaDsCthKRlbnbcxNYJ3IxRv-6235aNz/view?usp=sharing" TargetMode="External"/><Relationship Id="rId78" Type="http://schemas.openxmlformats.org/officeDocument/2006/relationships/hyperlink" Target="https://drive.google.com/file/d/16tBwlk5FuTqPVmxiYYGVIMqwi-WyEKE0/view?usp=sharing" TargetMode="External"/><Relationship Id="rId94" Type="http://schemas.openxmlformats.org/officeDocument/2006/relationships/hyperlink" Target="https://drive.google.com/file/d/1EBJwx78nzA8nkn-OOuD55JWPij-EZMrK/view?usp=sharing" TargetMode="External"/><Relationship Id="rId99" Type="http://schemas.openxmlformats.org/officeDocument/2006/relationships/hyperlink" Target="https://drive.google.com/file/d/1NfQCEZD8iCCY0bCoKI4AoqVC1q3CdwcB/view?usp=sharing" TargetMode="External"/><Relationship Id="rId101" Type="http://schemas.openxmlformats.org/officeDocument/2006/relationships/hyperlink" Target="https://drive.google.com/file/d/1ILfh0QWOmy69yaMBwssRB7EjiLLhlsOr/view?usp=sharing" TargetMode="External"/><Relationship Id="rId122" Type="http://schemas.openxmlformats.org/officeDocument/2006/relationships/hyperlink" Target="https://drive.google.com/file/d/1f7reu0VtBheRB6MMm0toYHQr2DcOOp87/view?usp=sharing" TargetMode="External"/><Relationship Id="rId143" Type="http://schemas.openxmlformats.org/officeDocument/2006/relationships/hyperlink" Target="https://drive.google.com/file/d/1oEr_VzKfQIOoDtjUiyImwX6VDWxaDAkX/view?usp=sharing" TargetMode="External"/><Relationship Id="rId148" Type="http://schemas.openxmlformats.org/officeDocument/2006/relationships/hyperlink" Target="https://drive.google.com/file/d/17t29qFy4LoAmPwApOdB7i9dgEk8ST9_s/view?usp=share_link" TargetMode="External"/><Relationship Id="rId164" Type="http://schemas.openxmlformats.org/officeDocument/2006/relationships/hyperlink" Target="https://drive.google.com/file/d/1JnEBOCjYcWyw-X7ow26sErdUjnAnENxA/view?usp=sharing" TargetMode="External"/><Relationship Id="rId169" Type="http://schemas.openxmlformats.org/officeDocument/2006/relationships/hyperlink" Target="https://drive.google.com/file/d/1bDYoBK24HZze99XYev-T8n-qxr0SQhBM/view?usp=sharing" TargetMode="External"/><Relationship Id="rId185" Type="http://schemas.openxmlformats.org/officeDocument/2006/relationships/hyperlink" Target="https://drive.google.com/file/d/1hQiewyDmCd9dIqAdcsPeWO_xtHghMsRo/view?usp=sharing" TargetMode="External"/><Relationship Id="rId4" Type="http://schemas.openxmlformats.org/officeDocument/2006/relationships/hyperlink" Target="https://drive.google.com/file/d/1gWqPvExBiLPUyxKt5MIS8cNd7Dfm0Q2P/view?usp=sharing" TargetMode="External"/><Relationship Id="rId9" Type="http://schemas.openxmlformats.org/officeDocument/2006/relationships/hyperlink" Target="https://drive.google.com/file/d/1i2NEl5FCJiO6CoxsABIAo72V-0WKbsMj/view?usp=sharing" TargetMode="External"/><Relationship Id="rId180" Type="http://schemas.openxmlformats.org/officeDocument/2006/relationships/hyperlink" Target="https://drive.google.com/file/d/1C328zjvB44W5YHHoAg8GMBOg7oGmjMP0/view?usp=sharing" TargetMode="External"/><Relationship Id="rId210" Type="http://schemas.openxmlformats.org/officeDocument/2006/relationships/hyperlink" Target="https://drive.google.com/file/d/1F-I-QKuKijWA5WrDZOPztdHU-NlTx0Pq/view?usp=sharing" TargetMode="External"/><Relationship Id="rId215" Type="http://schemas.openxmlformats.org/officeDocument/2006/relationships/hyperlink" Target="https://drive.google.com/file/d/11N-OjAa15B5TJrn8I_ax7-sjBsUa0uJF/view?usp=sharing" TargetMode="External"/><Relationship Id="rId236" Type="http://schemas.openxmlformats.org/officeDocument/2006/relationships/hyperlink" Target="https://drive.google.com/file/d/1vHtxk4SwZVCtocwHYsF5dPot0wkmMuek/view?usp=sharing" TargetMode="External"/><Relationship Id="rId257" Type="http://schemas.openxmlformats.org/officeDocument/2006/relationships/hyperlink" Target="https://drive.google.com/file/d/1Io4IbTNgBQD_PT6lxB61tjDJ4GCiDxjN/view?usp=sharing" TargetMode="External"/><Relationship Id="rId278" Type="http://schemas.openxmlformats.org/officeDocument/2006/relationships/hyperlink" Target="https://drive.google.com/file/d/1xPBS-qNI5lCmV2Pyu0bJOpMDdW9Y-gEs/view?usp=sharing" TargetMode="External"/><Relationship Id="rId26" Type="http://schemas.openxmlformats.org/officeDocument/2006/relationships/hyperlink" Target="https://drive.google.com/file/d/1cJSsYclm2EvZmI-9bPMl9Qypj8EKccsi/view?usp=sharing" TargetMode="External"/><Relationship Id="rId231" Type="http://schemas.openxmlformats.org/officeDocument/2006/relationships/hyperlink" Target="https://drive.google.com/file/d/1DXh9Osmg5VPg4uK87h_TTTv_ATxXewOZ/view?usp=sharing" TargetMode="External"/><Relationship Id="rId252" Type="http://schemas.openxmlformats.org/officeDocument/2006/relationships/hyperlink" Target="https://drive.google.com/file/d/18Vxbl5gWXNkPt7e8foe15Kyp1h6PrVuU/view?usp=sharing" TargetMode="External"/><Relationship Id="rId273" Type="http://schemas.openxmlformats.org/officeDocument/2006/relationships/hyperlink" Target="https://drive.google.com/file/d/1MRWUbt2W1KNFkM3XmvKWgiHjhtrpwQex/view?usp=sharing" TargetMode="External"/><Relationship Id="rId294" Type="http://schemas.openxmlformats.org/officeDocument/2006/relationships/hyperlink" Target="https://drive.google.com/file/d/1W26Mm1YvXaazxGlxDZoi5ZLttrgV0eKa/view?usp=sharing" TargetMode="External"/><Relationship Id="rId308" Type="http://schemas.openxmlformats.org/officeDocument/2006/relationships/hyperlink" Target="https://drive.google.com/file/d/1t645cAxAg8jTpYvfRS7_TSQs_ZJOo_CF/view?usp=sharing" TargetMode="External"/><Relationship Id="rId47" Type="http://schemas.openxmlformats.org/officeDocument/2006/relationships/hyperlink" Target="https://drive.google.com/file/d/1xidpAyD5rHAV_gm0ApBkL5dbrxe6cLcj/view?usp=sharing" TargetMode="External"/><Relationship Id="rId68" Type="http://schemas.openxmlformats.org/officeDocument/2006/relationships/hyperlink" Target="https://drive.google.com/file/d/17LWm--xoJYwz47MBFdZ7tYTd-ewut3EC/view?usp=sharing" TargetMode="External"/><Relationship Id="rId89" Type="http://schemas.openxmlformats.org/officeDocument/2006/relationships/hyperlink" Target="https://drive.google.com/file/d/1jOkn5r6huCGcjsWwChQ7Fohgd-HYtIbU/view?usp=sharing" TargetMode="External"/><Relationship Id="rId112" Type="http://schemas.openxmlformats.org/officeDocument/2006/relationships/hyperlink" Target="https://drive.google.com/file/d/1iDyfIZGZJSfhSVV20tzvKriH6wCLVYfQ/view?usp=sharing" TargetMode="External"/><Relationship Id="rId133" Type="http://schemas.openxmlformats.org/officeDocument/2006/relationships/hyperlink" Target="https://drive.google.com/file/d/1erFXu9JvkVICvAnOFmFH7DOtO2NxH_X3/view?usp=sharing" TargetMode="External"/><Relationship Id="rId154" Type="http://schemas.openxmlformats.org/officeDocument/2006/relationships/hyperlink" Target="https://drive.google.com/file/d/1BFMpM_S3h7uUZFMl2bkVg8v7XG7h0XsA/view?usp=sharing" TargetMode="External"/><Relationship Id="rId175" Type="http://schemas.openxmlformats.org/officeDocument/2006/relationships/hyperlink" Target="https://drive.google.com/file/d/1eWPJMx-lnTkJMxwbl35EvIaPRJb8QpZ7/view?usp=drive_link" TargetMode="External"/><Relationship Id="rId196" Type="http://schemas.openxmlformats.org/officeDocument/2006/relationships/hyperlink" Target="https://drive.google.com/file/d/1-861Fx3dh7ZLNobrluWUZaHBHI8KHtRi/view?usp=sharing" TargetMode="External"/><Relationship Id="rId200" Type="http://schemas.openxmlformats.org/officeDocument/2006/relationships/hyperlink" Target="https://drive.google.com/file/d/1EYa0DirC_bki_GkkSZY25yUV314qFwXb/view?usp=sharing" TargetMode="External"/><Relationship Id="rId16" Type="http://schemas.openxmlformats.org/officeDocument/2006/relationships/hyperlink" Target="https://drive.google.com/file/d/11JpnRC61ADorSLwMU-kso_Xl6LN4j8f-/view?usp=sharing" TargetMode="External"/><Relationship Id="rId221" Type="http://schemas.openxmlformats.org/officeDocument/2006/relationships/hyperlink" Target="https://drive.google.com/file/d/1vi47C-YHy6Caoas1ocFvkUCK8FTACo0X/view?usp=sharing" TargetMode="External"/><Relationship Id="rId242" Type="http://schemas.openxmlformats.org/officeDocument/2006/relationships/hyperlink" Target="https://drive.google.com/file/d/1KuPrqFru-1XoCsZ8MTtIaUrUsaSfBsz1/view?usp=sharing" TargetMode="External"/><Relationship Id="rId263" Type="http://schemas.openxmlformats.org/officeDocument/2006/relationships/hyperlink" Target="https://drive.google.com/file/d/1chahu_oJSzbPmm-65M75Sb3tzgaFa2nD/view?usp=sharing" TargetMode="External"/><Relationship Id="rId284" Type="http://schemas.openxmlformats.org/officeDocument/2006/relationships/hyperlink" Target="https://drive.google.com/file/d/1ZJq03YBiByq14hphBCl3PeOzCP2al97H/view?usp=sharing" TargetMode="External"/><Relationship Id="rId319" Type="http://schemas.openxmlformats.org/officeDocument/2006/relationships/hyperlink" Target="https://drive.google.com/file/d/10GomHXk5HDWv4Z4YVd8Hks4J36zLME4B/view?usp=sharing" TargetMode="External"/><Relationship Id="rId37" Type="http://schemas.openxmlformats.org/officeDocument/2006/relationships/hyperlink" Target="https://drive.google.com/file/d/1CYsBzWwj_jaEQSDH5c7oVZCCddPjBsTP/view?usp=sharing" TargetMode="External"/><Relationship Id="rId58" Type="http://schemas.openxmlformats.org/officeDocument/2006/relationships/hyperlink" Target="https://drive.google.com/file/d/1SHwwn_lUoz8tSKlEev06AvHuI3sMX_zX/view?usp=sharing" TargetMode="External"/><Relationship Id="rId79" Type="http://schemas.openxmlformats.org/officeDocument/2006/relationships/hyperlink" Target="https://drive.google.com/file/d/1x1uM6VxHc05cQn2tNKlOq9Tgmkm2T6jW/view?usp=sharing" TargetMode="External"/><Relationship Id="rId102" Type="http://schemas.openxmlformats.org/officeDocument/2006/relationships/hyperlink" Target="https://drive.google.com/file/d/1NLXpkF2o4aXbK1gIHsRbKUQRTRTy13xu/view?usp=sharing" TargetMode="External"/><Relationship Id="rId123" Type="http://schemas.openxmlformats.org/officeDocument/2006/relationships/hyperlink" Target="https://drive.google.com/file/d/1fK7Avp-8BFCeIqnAidEgD2oa6bf2uyXn/view?usp=sharing" TargetMode="External"/><Relationship Id="rId144" Type="http://schemas.openxmlformats.org/officeDocument/2006/relationships/hyperlink" Target="https://drive.google.com/file/d/1-ND0-Yke6jSx-_CjWlXsZ3SxEfWL1Nnl/view?usp=share_link" TargetMode="External"/><Relationship Id="rId90" Type="http://schemas.openxmlformats.org/officeDocument/2006/relationships/hyperlink" Target="https://drive.google.com/file/d/1EBgHfU_taC3ecSLHeV8DDMGxmm0Jfv1_/view?usp=sharing" TargetMode="External"/><Relationship Id="rId165" Type="http://schemas.openxmlformats.org/officeDocument/2006/relationships/hyperlink" Target="https://drive.google.com/file/d/1zSQ_0j4EAv3AxYiXUwXKLQ6irimc5MdU/view?usp=sharing" TargetMode="External"/><Relationship Id="rId186" Type="http://schemas.openxmlformats.org/officeDocument/2006/relationships/hyperlink" Target="https://drive.google.com/file/d/11-uo34o74UcxfOPi8GnKxmve_oamozXD/view?usp=drive_link" TargetMode="External"/><Relationship Id="rId211" Type="http://schemas.openxmlformats.org/officeDocument/2006/relationships/hyperlink" Target="https://drive.google.com/file/d/1K7mdZCo9d2Tg3BA-OqZ4wA4Ujwc1Q38X/view?usp=sharing" TargetMode="External"/><Relationship Id="rId232" Type="http://schemas.openxmlformats.org/officeDocument/2006/relationships/hyperlink" Target="https://drive.google.com/file/d/1Sj1HY4_FYSbwVpVAQO1k_emTlsaG10Hu/view?usp=sharing" TargetMode="External"/><Relationship Id="rId253" Type="http://schemas.openxmlformats.org/officeDocument/2006/relationships/hyperlink" Target="https://drive.google.com/file/d/1YCAGkhOs5_CP1Fy0iN2mbeRq3AtAOiW7/view?usp=sharing" TargetMode="External"/><Relationship Id="rId274" Type="http://schemas.openxmlformats.org/officeDocument/2006/relationships/hyperlink" Target="https://drive.google.com/file/d/12G1K0oR6etb7wzyQCk6q3cPGOd7apOAE/view?usp=sharing" TargetMode="External"/><Relationship Id="rId295" Type="http://schemas.openxmlformats.org/officeDocument/2006/relationships/hyperlink" Target="https://drive.google.com/file/d/13siWcO-CQK4pILZReK4qgQpsKxN7iVBC/view?usp=sharing" TargetMode="External"/><Relationship Id="rId309" Type="http://schemas.openxmlformats.org/officeDocument/2006/relationships/hyperlink" Target="https://drive.google.com/file/d/1qNu_A3kPMKkbGFUnpCoMnnz5Bu4gdRez/view?usp=drive_link" TargetMode="External"/><Relationship Id="rId27" Type="http://schemas.openxmlformats.org/officeDocument/2006/relationships/hyperlink" Target="https://drive.google.com/file/d/1YnKq-SvPhWwTuZ08ze0F1p7J2DEMJ_XJ/view?usp=sharing" TargetMode="External"/><Relationship Id="rId48" Type="http://schemas.openxmlformats.org/officeDocument/2006/relationships/hyperlink" Target="https://drive.google.com/file/d/1lDRBWLekq-BLxJQaJJzcjTAh9w1nqZpS/view?usp=share_link" TargetMode="External"/><Relationship Id="rId69" Type="http://schemas.openxmlformats.org/officeDocument/2006/relationships/hyperlink" Target="https://drive.google.com/file/d/1jDONqJiwE0VVquk7vNf39h9emm2bisxW/view?usp=drive_link" TargetMode="External"/><Relationship Id="rId113" Type="http://schemas.openxmlformats.org/officeDocument/2006/relationships/hyperlink" Target="https://drive.google.com/file/d/1OWsk0z-fdVPqeKX4hNoiZemgRgFmTdje/view?usp=sharing" TargetMode="External"/><Relationship Id="rId134" Type="http://schemas.openxmlformats.org/officeDocument/2006/relationships/hyperlink" Target="https://drive.google.com/file/d/1H4GPnwpaDlqqr38PswuKu-7w-TtCBsWC/view?usp=sharing" TargetMode="External"/><Relationship Id="rId320" Type="http://schemas.openxmlformats.org/officeDocument/2006/relationships/hyperlink" Target="https://drive.google.com/file/d/1boXpnatl_MhDp1gzP2LddYWN4tAnMg1m/view?usp=sharing" TargetMode="External"/><Relationship Id="rId80" Type="http://schemas.openxmlformats.org/officeDocument/2006/relationships/hyperlink" Target="https://drive.google.com/file/d/1HIAcgqXpqvGx5UKkURDMyPgPApT1lBWu/view?usp=sharing" TargetMode="External"/><Relationship Id="rId155" Type="http://schemas.openxmlformats.org/officeDocument/2006/relationships/hyperlink" Target="https://drive.google.com/file/d/10z0jecVUhZOZFFkPKSX8F7IMLaLiZ70z/view?usp=sharing" TargetMode="External"/><Relationship Id="rId176" Type="http://schemas.openxmlformats.org/officeDocument/2006/relationships/hyperlink" Target="https://drive.google.com/file/d/1K0JbZ2akMvjbhcQBvFiiRv-U7RtrFWbE/view?usp=sharing" TargetMode="External"/><Relationship Id="rId197" Type="http://schemas.openxmlformats.org/officeDocument/2006/relationships/hyperlink" Target="https://drive.google.com/file/d/1iiZUdcwvNShTgswNC_tiJ1BBX-e5C6R6/view?usp=sharing" TargetMode="External"/><Relationship Id="rId201" Type="http://schemas.openxmlformats.org/officeDocument/2006/relationships/hyperlink" Target="https://drive.google.com/file/d/19hIPAesy_Z7an7DLA2AIuZ4M8Qs5c2QD/view?usp=sharing" TargetMode="External"/><Relationship Id="rId222" Type="http://schemas.openxmlformats.org/officeDocument/2006/relationships/hyperlink" Target="https://drive.google.com/file/d/1VovdqlP25T0aTmsMc14_SE5p9PLF1mcS/view?usp=sharing" TargetMode="External"/><Relationship Id="rId243" Type="http://schemas.openxmlformats.org/officeDocument/2006/relationships/hyperlink" Target="https://drive.google.com/file/d/1sAsMNP1fBMmlyjGEwhnwLzc4Ta4taW8a/view?usp=sharing" TargetMode="External"/><Relationship Id="rId264" Type="http://schemas.openxmlformats.org/officeDocument/2006/relationships/hyperlink" Target="https://drive.google.com/file/d/1ifTCVCOGryxgVG-S-w6TjyibdVsUqJF-/view?usp=sharing" TargetMode="External"/><Relationship Id="rId285" Type="http://schemas.openxmlformats.org/officeDocument/2006/relationships/hyperlink" Target="https://drive.google.com/file/d/1RK2XLklB9oiAv3rqelauMCMr1jPqZ35q/view?usp=sharing" TargetMode="External"/><Relationship Id="rId17" Type="http://schemas.openxmlformats.org/officeDocument/2006/relationships/hyperlink" Target="https://drive.google.com/file/d/1jdZu-zhEQSIzfMYaKfP-NzuS0a0ChhJJ/view?usp=sharing" TargetMode="External"/><Relationship Id="rId38" Type="http://schemas.openxmlformats.org/officeDocument/2006/relationships/hyperlink" Target="https://drive.google.com/file/d/19F6Ie-cpd27HH7lCcCl-0TowLTyGkcGa/view?usp=share_link" TargetMode="External"/><Relationship Id="rId59" Type="http://schemas.openxmlformats.org/officeDocument/2006/relationships/hyperlink" Target="https://drive.google.com/file/d/1_H6C1wEKnN7vmmqNfE7D837eMRKg8STl/view?usp=sharing" TargetMode="External"/><Relationship Id="rId103" Type="http://schemas.openxmlformats.org/officeDocument/2006/relationships/hyperlink" Target="https://drive.google.com/file/d/1dCjfIyotkI6DF0XLHQ6g-6Z600Uv-OGv/view?usp=sharing" TargetMode="External"/><Relationship Id="rId124" Type="http://schemas.openxmlformats.org/officeDocument/2006/relationships/hyperlink" Target="https://drive.google.com/file/d/1rEwAr1SNxHRpznd4GwDVYb49hGuNpMUK/view?usp=sharing" TargetMode="External"/><Relationship Id="rId310" Type="http://schemas.openxmlformats.org/officeDocument/2006/relationships/hyperlink" Target="https://drive.google.com/file/d/1fAAetCL-E5ENGHJ68eYrlaNHltpeHTB1/view?usp=sharing" TargetMode="External"/><Relationship Id="rId70" Type="http://schemas.openxmlformats.org/officeDocument/2006/relationships/hyperlink" Target="https://drive.google.com/file/d/1Sityyyt9_dUUslwE0c3cxl_rcBFhVang/view?usp=sharing" TargetMode="External"/><Relationship Id="rId91" Type="http://schemas.openxmlformats.org/officeDocument/2006/relationships/hyperlink" Target="https://drive.google.com/file/d/1yg73qu-BPtyjZJtG4bYRjzLBpPR4KT4J/view?usp=sharing" TargetMode="External"/><Relationship Id="rId145" Type="http://schemas.openxmlformats.org/officeDocument/2006/relationships/hyperlink" Target="https://drive.google.com/file/d/1Ppun2QFtcTX42aHPkID-p7VhpoZJhu7P/view?usp=sharing" TargetMode="External"/><Relationship Id="rId166" Type="http://schemas.openxmlformats.org/officeDocument/2006/relationships/hyperlink" Target="https://drive.google.com/file/d/1oYhILoXMJtRBKbG93RWZT13y5swD5th_/view?usp=drive_link" TargetMode="External"/><Relationship Id="rId187" Type="http://schemas.openxmlformats.org/officeDocument/2006/relationships/hyperlink" Target="https://drive.google.com/file/d/19GPZOTcAe6Z-W2XC2OJVxqbZtSsV1cbx/view?usp=sharing" TargetMode="External"/><Relationship Id="rId1" Type="http://schemas.openxmlformats.org/officeDocument/2006/relationships/hyperlink" Target="https://drive.google.com/file/d/1bvvGumy8TjNZUEHQcAMpZwdcEExZVT4S/view?usp=sharing" TargetMode="External"/><Relationship Id="rId212" Type="http://schemas.openxmlformats.org/officeDocument/2006/relationships/hyperlink" Target="https://drive.google.com/file/d/1mo_CcuOPiPP9jQrCkOkNCHYPmv5R9OYF/view?usp=sharing" TargetMode="External"/><Relationship Id="rId233" Type="http://schemas.openxmlformats.org/officeDocument/2006/relationships/hyperlink" Target="https://drive.google.com/file/d/1lhN0CdAQ3snAkKGQJR8pnuZmZ8tkbzat/view?usp=sharing" TargetMode="External"/><Relationship Id="rId254" Type="http://schemas.openxmlformats.org/officeDocument/2006/relationships/hyperlink" Target="https://drive.google.com/file/d/1KixS9i8xiaHW_wVeKNGL8IWO4eSCn2IZ/view?usp=sharing" TargetMode="External"/><Relationship Id="rId28" Type="http://schemas.openxmlformats.org/officeDocument/2006/relationships/hyperlink" Target="https://drive.google.com/file/d/1YnKq-SvPhWwTuZ08ze0F1p7J2DEMJ_XJ/view?usp=sharing" TargetMode="External"/><Relationship Id="rId49" Type="http://schemas.openxmlformats.org/officeDocument/2006/relationships/hyperlink" Target="https://drive.google.com/file/d/1eAi-C1IfaWRUCZmBs-Al_0HkCbNIMzL3/view?usp=sharing" TargetMode="External"/><Relationship Id="rId114" Type="http://schemas.openxmlformats.org/officeDocument/2006/relationships/hyperlink" Target="https://drive.google.com/file/d/1OWsk0z-fdVPqeKX4hNoiZemgRgFmTdje/view?usp=sharing" TargetMode="External"/><Relationship Id="rId275" Type="http://schemas.openxmlformats.org/officeDocument/2006/relationships/hyperlink" Target="https://drive.google.com/file/d/1kuo59ZLkTTc0zzxkgFx1UMHy469AD9ov/view?usp=sharing" TargetMode="External"/><Relationship Id="rId296" Type="http://schemas.openxmlformats.org/officeDocument/2006/relationships/hyperlink" Target="https://drive.google.com/file/d/1-kAf9nd-E_8Rz8HPMt55NMlxcY5k1XV-/view?usp=sharing" TargetMode="External"/><Relationship Id="rId300" Type="http://schemas.openxmlformats.org/officeDocument/2006/relationships/hyperlink" Target="https://drive.google.com/file/d/1SDUWkZ1KqaHavrfvog3HUR7ldWZBqCWn/view?usp=sharing" TargetMode="External"/><Relationship Id="rId60" Type="http://schemas.openxmlformats.org/officeDocument/2006/relationships/hyperlink" Target="https://drive.google.com/file/d/1X10M8I0AF-4WKyC03lHlQr2mTUgbVNQB/view?usp=sharing" TargetMode="External"/><Relationship Id="rId81" Type="http://schemas.openxmlformats.org/officeDocument/2006/relationships/hyperlink" Target="https://drive.google.com/file/d/1Och12zHKOpQWPIH5EyMp57uWSaMl2hzi/view?usp=sharing" TargetMode="External"/><Relationship Id="rId135" Type="http://schemas.openxmlformats.org/officeDocument/2006/relationships/hyperlink" Target="https://drive.google.com/file/d/19o-EDJiDuUyvfSM69Z7MAmHcINiuaUTb/view?usp=sharing" TargetMode="External"/><Relationship Id="rId156" Type="http://schemas.openxmlformats.org/officeDocument/2006/relationships/hyperlink" Target="https://drive.google.com/file/d/1L3Y_VV_eEdBiyYDiB0gB6nxO4JO8fT_-/view?usp=share_link" TargetMode="External"/><Relationship Id="rId177" Type="http://schemas.openxmlformats.org/officeDocument/2006/relationships/hyperlink" Target="https://drive.google.com/file/d/1Sj1HY4_FYSbwVpVAQO1k_emTlsaG10Hu/view?usp=sharing" TargetMode="External"/><Relationship Id="rId198" Type="http://schemas.openxmlformats.org/officeDocument/2006/relationships/hyperlink" Target="https://drive.google.com/file/d/1sb3Fvz6dEd0M86RToN66-Ufgb2x9CzWn/view?usp=sharing" TargetMode="External"/><Relationship Id="rId321" Type="http://schemas.openxmlformats.org/officeDocument/2006/relationships/hyperlink" Target="https://drive.google.com/file/d/1Sflkbl0Y9mf7X8_tWUyA3z7baJ5HtKX-/view?usp=sharing" TargetMode="External"/><Relationship Id="rId202" Type="http://schemas.openxmlformats.org/officeDocument/2006/relationships/hyperlink" Target="https://drive.google.com/file/d/1KLVwkI0QWu5eZ7qzE08txTjHY7Hbb8I_/view?usp=sharing" TargetMode="External"/><Relationship Id="rId223" Type="http://schemas.openxmlformats.org/officeDocument/2006/relationships/hyperlink" Target="https://drive.google.com/file/d/1XAu8BG5RqGNEoh3w6fysudEEoxE5d-KU/view?usp=sharing" TargetMode="External"/><Relationship Id="rId244" Type="http://schemas.openxmlformats.org/officeDocument/2006/relationships/hyperlink" Target="https://drive.google.com/file/d/1grGm-jgPGEoK8FsnL0BMMaVGNfSbiXO4/view?usp=sharing" TargetMode="External"/><Relationship Id="rId18" Type="http://schemas.openxmlformats.org/officeDocument/2006/relationships/hyperlink" Target="https://drive.google.com/file/d/1XDCGtFxFPBO7_ocwHobgX_Rb6DglTPGn/view?usp=sharing" TargetMode="External"/><Relationship Id="rId39" Type="http://schemas.openxmlformats.org/officeDocument/2006/relationships/hyperlink" Target="https://drive.google.com/file/d/1jS11rAha2S2BJC8fGNNsHu9Qp4nE7WNx/view?usp=sharing" TargetMode="External"/><Relationship Id="rId265" Type="http://schemas.openxmlformats.org/officeDocument/2006/relationships/hyperlink" Target="https://drive.google.com/file/d/1mj-DhotmgOU1136PmytzwhaZJg0LDR7X/view?usp=sharing" TargetMode="External"/><Relationship Id="rId286" Type="http://schemas.openxmlformats.org/officeDocument/2006/relationships/hyperlink" Target="https://drive.google.com/file/d/1KWlwe-7_xQ8XLTamJZIxNpEiQZi5UXTC/view?usp=sharing" TargetMode="External"/><Relationship Id="rId50" Type="http://schemas.openxmlformats.org/officeDocument/2006/relationships/hyperlink" Target="https://drive.google.com/file/d/1eAi-C1IfaWRUCZmBs-Al_0HkCbNIMzL3/view?usp=sharing" TargetMode="External"/><Relationship Id="rId104" Type="http://schemas.openxmlformats.org/officeDocument/2006/relationships/hyperlink" Target="https://drive.google.com/file/d/1dCjfIyotkI6DF0XLHQ6g-6Z600Uv-OGv/view?usp=sharing" TargetMode="External"/><Relationship Id="rId125" Type="http://schemas.openxmlformats.org/officeDocument/2006/relationships/hyperlink" Target="https://drive.google.com/file/d/1f_DpxLTbLG2lBVl_vZpT5D8wXRS-fr9R/view?usp=sharing" TargetMode="External"/><Relationship Id="rId146" Type="http://schemas.openxmlformats.org/officeDocument/2006/relationships/hyperlink" Target="https://drive.google.com/file/d/1GeX00EVv8gWlA7KudfKzn9nTK-cJpZ07/view?usp=sharing" TargetMode="External"/><Relationship Id="rId167" Type="http://schemas.openxmlformats.org/officeDocument/2006/relationships/hyperlink" Target="https://drive.google.com/file/d/1Sj1HY4_FYSbwVpVAQO1k_emTlsaG10Hu/view?usp=sharing" TargetMode="External"/><Relationship Id="rId188" Type="http://schemas.openxmlformats.org/officeDocument/2006/relationships/hyperlink" Target="https://drive.google.com/file/d/1vtvdfcDiJN_BwEXsPBTyl2qWkgE-2NPb/view?usp=sharing" TargetMode="External"/><Relationship Id="rId311" Type="http://schemas.openxmlformats.org/officeDocument/2006/relationships/hyperlink" Target="https://drive.google.com/file/d/1jEUCs4cAHg0VcScbmGyTVh7rjygvJ8ZP/view?usp=sharing" TargetMode="External"/><Relationship Id="rId71" Type="http://schemas.openxmlformats.org/officeDocument/2006/relationships/hyperlink" Target="https://drive.google.com/file/d/1qhv8ZXgmBEBpoOtrXUDOpXb0ruYZF5Wx/view?usp=sharing" TargetMode="External"/><Relationship Id="rId92" Type="http://schemas.openxmlformats.org/officeDocument/2006/relationships/hyperlink" Target="https://drive.google.com/file/d/1M3rxaRB_LsvqDdhYxnZITvGFxefGmhLB/view?usp=sharing" TargetMode="External"/><Relationship Id="rId213" Type="http://schemas.openxmlformats.org/officeDocument/2006/relationships/hyperlink" Target="https://drive.google.com/file/d/1HuC_IQle8otpo_ypPel-wx4tqI59CKR1/view?usp=sharing" TargetMode="External"/><Relationship Id="rId234" Type="http://schemas.openxmlformats.org/officeDocument/2006/relationships/hyperlink" Target="https://drive.google.com/file/d/1you1rL4CpsNm1KoxdLzAk8Dn33Nt7Y-M/view?usp=sharing" TargetMode="External"/><Relationship Id="rId2" Type="http://schemas.openxmlformats.org/officeDocument/2006/relationships/hyperlink" Target="https://drive.google.com/file/d/1bvvGumy8TjNZUEHQcAMpZwdcEExZVT4S/view?usp=sharing" TargetMode="External"/><Relationship Id="rId29" Type="http://schemas.openxmlformats.org/officeDocument/2006/relationships/hyperlink" Target="https://drive.google.com/file/d/1GcBe0Km5PBz5p0vyk0KBAhKF1n5RtR2-/view?usp=sharing" TargetMode="External"/><Relationship Id="rId255" Type="http://schemas.openxmlformats.org/officeDocument/2006/relationships/hyperlink" Target="https://drive.google.com/file/d/1XPsN4jSH2J7pWx8XVFUeTNdQ2ds3o9YY/view?usp=sharing" TargetMode="External"/><Relationship Id="rId276" Type="http://schemas.openxmlformats.org/officeDocument/2006/relationships/hyperlink" Target="https://drive.google.com/file/d/1tPq2bnCHJFEW28TocqJFufZ4Kst7ckmv/view?usp=sharing" TargetMode="External"/><Relationship Id="rId297" Type="http://schemas.openxmlformats.org/officeDocument/2006/relationships/hyperlink" Target="https://drive.google.com/file/d/1dnUHul7-ZtbDBrt9iNcE-uzDGa_Qx3k5/view?usp=sharing" TargetMode="External"/><Relationship Id="rId40" Type="http://schemas.openxmlformats.org/officeDocument/2006/relationships/hyperlink" Target="https://drive.google.com/file/d/1lI7DBYkltdZJbm_wBcUbpqqrUymnW0eR/view?usp=sharing" TargetMode="External"/><Relationship Id="rId115" Type="http://schemas.openxmlformats.org/officeDocument/2006/relationships/hyperlink" Target="https://drive.google.com/file/d/1xTkykJRYONegC3AO1JOPqKjvexuJTpWp/view?usp=sharing" TargetMode="External"/><Relationship Id="rId136" Type="http://schemas.openxmlformats.org/officeDocument/2006/relationships/hyperlink" Target="https://drive.google.com/file/d/1PkH6Dzb0QHO-HsI6NekedM8rzpbUkm15/view?usp=sharing" TargetMode="External"/><Relationship Id="rId157" Type="http://schemas.openxmlformats.org/officeDocument/2006/relationships/hyperlink" Target="https://drive.google.com/file/d/1FOmBjevsldR3epx0yGK1lfQMyKy1xbhJ/view?usp=sharing" TargetMode="External"/><Relationship Id="rId178" Type="http://schemas.openxmlformats.org/officeDocument/2006/relationships/hyperlink" Target="https://drive.google.com/file/d/1YHdBHDvc5xzK3ZLTgV1skia829rA515d/view?usp=sharing" TargetMode="External"/><Relationship Id="rId301" Type="http://schemas.openxmlformats.org/officeDocument/2006/relationships/hyperlink" Target="https://drive.google.com/file/d/1gdNsJRoq2DqH4EMpRrgnYE2TdxzUtPL5/view?usp=share_link" TargetMode="External"/><Relationship Id="rId61" Type="http://schemas.openxmlformats.org/officeDocument/2006/relationships/hyperlink" Target="https://drive.google.com/file/d/1qNV74qOBKSH6AHqM4usHxMxWFbBovZhQ/view?usp=sharing" TargetMode="External"/><Relationship Id="rId82" Type="http://schemas.openxmlformats.org/officeDocument/2006/relationships/hyperlink" Target="https://drive.google.com/file/d/1kloWkr2akUeqsdZfTbWsSU4Jwzao15yl/view?usp=sharing" TargetMode="External"/><Relationship Id="rId199" Type="http://schemas.openxmlformats.org/officeDocument/2006/relationships/hyperlink" Target="https://drive.google.com/file/d/1u1qn5BeHokwDtOwvcAcsK7TA8MRd01Z1/view?usp=sharing" TargetMode="External"/><Relationship Id="rId203" Type="http://schemas.openxmlformats.org/officeDocument/2006/relationships/hyperlink" Target="https://drive.google.com/file/d/1l7A_mP0JOaROpIdvN4m_12q9sBsZzWK5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63"/>
  <sheetViews>
    <sheetView tabSelected="1" workbookViewId="0">
      <selection sqref="A1:W163"/>
    </sheetView>
  </sheetViews>
  <sheetFormatPr defaultRowHeight="15"/>
  <sheetData>
    <row r="1" spans="1:23" ht="15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7"/>
    </row>
    <row r="2" spans="1:23" ht="60">
      <c r="A2" s="8">
        <v>3</v>
      </c>
      <c r="B2" s="9" t="s">
        <v>22</v>
      </c>
      <c r="C2" s="10" t="s">
        <v>23</v>
      </c>
      <c r="D2" s="11" t="s">
        <v>24</v>
      </c>
      <c r="E2" s="12" t="s">
        <v>25</v>
      </c>
      <c r="F2" s="10" t="s">
        <v>26</v>
      </c>
      <c r="G2" s="12" t="s">
        <v>27</v>
      </c>
      <c r="H2" s="10" t="s">
        <v>28</v>
      </c>
      <c r="I2" s="10">
        <v>9002071098</v>
      </c>
      <c r="J2" s="13">
        <v>9002071098</v>
      </c>
      <c r="K2" s="10" t="s">
        <v>29</v>
      </c>
      <c r="L2" s="14" t="s">
        <v>30</v>
      </c>
      <c r="M2" s="15">
        <v>33025</v>
      </c>
      <c r="N2" s="16">
        <f>IF(ISBLANK(M2),"", DATE(YEAR(M2)+60,MONTH(M2),DAY(EOMONTH(M2,0))))</f>
        <v>54969</v>
      </c>
      <c r="O2" s="15">
        <v>45838</v>
      </c>
      <c r="P2" s="17">
        <v>45662</v>
      </c>
      <c r="Q2" s="18">
        <v>45622</v>
      </c>
      <c r="R2" s="19"/>
      <c r="S2" s="20"/>
      <c r="T2" s="21" t="s">
        <v>31</v>
      </c>
      <c r="U2" s="21" t="s">
        <v>31</v>
      </c>
      <c r="V2" s="22">
        <f t="shared" ref="V2:V8" si="0">LEN(TEXT(D2,0))</f>
        <v>11</v>
      </c>
      <c r="W2" s="23">
        <f t="shared" ref="W2:W38" ca="1" si="1">INT((TODAY()-M2)/365)</f>
        <v>35</v>
      </c>
    </row>
    <row r="3" spans="1:23" ht="45">
      <c r="A3" s="8">
        <v>4</v>
      </c>
      <c r="B3" s="9" t="s">
        <v>32</v>
      </c>
      <c r="C3" s="10" t="s">
        <v>23</v>
      </c>
      <c r="D3" s="11" t="s">
        <v>33</v>
      </c>
      <c r="E3" s="12" t="s">
        <v>34</v>
      </c>
      <c r="F3" s="10" t="s">
        <v>26</v>
      </c>
      <c r="G3" s="12" t="s">
        <v>27</v>
      </c>
      <c r="H3" s="10" t="s">
        <v>35</v>
      </c>
      <c r="I3" s="10">
        <v>9002071024</v>
      </c>
      <c r="J3" s="24">
        <v>9002071024</v>
      </c>
      <c r="K3" s="10" t="s">
        <v>29</v>
      </c>
      <c r="L3" s="14" t="s">
        <v>30</v>
      </c>
      <c r="M3" s="15">
        <v>33252</v>
      </c>
      <c r="N3" s="15">
        <v>55184</v>
      </c>
      <c r="O3" s="15">
        <v>45837</v>
      </c>
      <c r="P3" s="15">
        <v>45720</v>
      </c>
      <c r="Q3" s="15">
        <v>45674</v>
      </c>
      <c r="R3" s="19"/>
      <c r="S3" s="20"/>
      <c r="T3" s="21" t="s">
        <v>36</v>
      </c>
      <c r="U3" s="21" t="s">
        <v>37</v>
      </c>
      <c r="V3" s="22">
        <f t="shared" si="0"/>
        <v>11</v>
      </c>
      <c r="W3" s="23">
        <f t="shared" ca="1" si="1"/>
        <v>35</v>
      </c>
    </row>
    <row r="4" spans="1:23" ht="45">
      <c r="A4" s="8">
        <v>5</v>
      </c>
      <c r="B4" s="9" t="s">
        <v>38</v>
      </c>
      <c r="C4" s="10" t="s">
        <v>23</v>
      </c>
      <c r="D4" s="11" t="s">
        <v>39</v>
      </c>
      <c r="E4" s="25" t="s">
        <v>40</v>
      </c>
      <c r="F4" s="10" t="s">
        <v>26</v>
      </c>
      <c r="G4" s="12" t="s">
        <v>27</v>
      </c>
      <c r="H4" s="10" t="s">
        <v>35</v>
      </c>
      <c r="I4" s="10">
        <v>9002079751</v>
      </c>
      <c r="J4" s="10">
        <v>9002079751</v>
      </c>
      <c r="K4" s="10" t="s">
        <v>29</v>
      </c>
      <c r="L4" s="10" t="s">
        <v>41</v>
      </c>
      <c r="M4" s="26">
        <v>33974</v>
      </c>
      <c r="N4" s="15">
        <v>55915</v>
      </c>
      <c r="O4" s="15">
        <v>45767</v>
      </c>
      <c r="P4" s="15">
        <v>45591</v>
      </c>
      <c r="Q4" s="17">
        <v>45591</v>
      </c>
      <c r="R4" s="27"/>
      <c r="S4" s="20"/>
      <c r="T4" s="21" t="s">
        <v>42</v>
      </c>
      <c r="U4" s="21" t="s">
        <v>43</v>
      </c>
      <c r="V4" s="22">
        <f t="shared" si="0"/>
        <v>11</v>
      </c>
      <c r="W4" s="23">
        <f t="shared" ca="1" si="1"/>
        <v>33</v>
      </c>
    </row>
    <row r="5" spans="1:23" ht="30">
      <c r="A5" s="8">
        <v>6</v>
      </c>
      <c r="B5" s="9" t="s">
        <v>44</v>
      </c>
      <c r="C5" s="10" t="s">
        <v>23</v>
      </c>
      <c r="D5" s="11" t="s">
        <v>45</v>
      </c>
      <c r="E5" s="10" t="s">
        <v>46</v>
      </c>
      <c r="F5" s="10" t="s">
        <v>26</v>
      </c>
      <c r="G5" s="10" t="s">
        <v>47</v>
      </c>
      <c r="H5" s="10" t="s">
        <v>35</v>
      </c>
      <c r="I5" s="10">
        <v>9002071807</v>
      </c>
      <c r="J5" s="13">
        <v>9002071807</v>
      </c>
      <c r="K5" s="10" t="s">
        <v>29</v>
      </c>
      <c r="L5" s="10" t="s">
        <v>30</v>
      </c>
      <c r="M5" s="15">
        <v>28993</v>
      </c>
      <c r="N5" s="15">
        <v>50921</v>
      </c>
      <c r="O5" s="15">
        <v>45689</v>
      </c>
      <c r="P5" s="17">
        <v>45222</v>
      </c>
      <c r="Q5" s="15">
        <v>45145</v>
      </c>
      <c r="R5" s="28"/>
      <c r="S5" s="20"/>
      <c r="T5" s="29" t="s">
        <v>48</v>
      </c>
      <c r="U5" s="29" t="s">
        <v>48</v>
      </c>
      <c r="V5" s="22">
        <f t="shared" si="0"/>
        <v>11</v>
      </c>
      <c r="W5" s="23">
        <f t="shared" ca="1" si="1"/>
        <v>46</v>
      </c>
    </row>
    <row r="6" spans="1:23" ht="45">
      <c r="A6" s="8">
        <v>7</v>
      </c>
      <c r="B6" s="9" t="s">
        <v>49</v>
      </c>
      <c r="C6" s="10" t="s">
        <v>23</v>
      </c>
      <c r="D6" s="11" t="s">
        <v>50</v>
      </c>
      <c r="E6" s="12" t="s">
        <v>51</v>
      </c>
      <c r="F6" s="10" t="s">
        <v>26</v>
      </c>
      <c r="G6" s="12" t="s">
        <v>27</v>
      </c>
      <c r="H6" s="10" t="s">
        <v>35</v>
      </c>
      <c r="I6" s="10">
        <v>9002079605</v>
      </c>
      <c r="J6" s="13">
        <v>8910282413</v>
      </c>
      <c r="K6" s="10" t="s">
        <v>29</v>
      </c>
      <c r="L6" s="14" t="s">
        <v>52</v>
      </c>
      <c r="M6" s="15">
        <v>32826</v>
      </c>
      <c r="N6" s="15">
        <v>54757</v>
      </c>
      <c r="O6" s="15">
        <v>45266</v>
      </c>
      <c r="P6" s="15">
        <v>45527</v>
      </c>
      <c r="Q6" s="30">
        <v>45453</v>
      </c>
      <c r="R6" s="19"/>
      <c r="S6" s="20"/>
      <c r="T6" s="21" t="s">
        <v>53</v>
      </c>
      <c r="U6" s="21" t="s">
        <v>53</v>
      </c>
      <c r="V6" s="22">
        <f t="shared" si="0"/>
        <v>11</v>
      </c>
      <c r="W6" s="23">
        <f t="shared" ca="1" si="1"/>
        <v>36</v>
      </c>
    </row>
    <row r="7" spans="1:23" ht="30">
      <c r="A7" s="8">
        <v>8</v>
      </c>
      <c r="B7" s="9" t="s">
        <v>54</v>
      </c>
      <c r="C7" s="10" t="s">
        <v>23</v>
      </c>
      <c r="D7" s="11" t="s">
        <v>55</v>
      </c>
      <c r="E7" s="31" t="s">
        <v>56</v>
      </c>
      <c r="F7" s="10" t="s">
        <v>26</v>
      </c>
      <c r="G7" s="12" t="s">
        <v>27</v>
      </c>
      <c r="H7" s="10" t="s">
        <v>28</v>
      </c>
      <c r="I7" s="13">
        <v>8420320008</v>
      </c>
      <c r="J7" s="13">
        <v>8420320008</v>
      </c>
      <c r="K7" s="10" t="s">
        <v>29</v>
      </c>
      <c r="L7" s="14" t="s">
        <v>30</v>
      </c>
      <c r="M7" s="15">
        <v>31396</v>
      </c>
      <c r="N7" s="15">
        <v>53327</v>
      </c>
      <c r="O7" s="15">
        <v>46109</v>
      </c>
      <c r="P7" s="17">
        <v>45115</v>
      </c>
      <c r="Q7" s="15">
        <v>45145</v>
      </c>
      <c r="R7" s="19"/>
      <c r="S7" s="20"/>
      <c r="T7" s="21" t="s">
        <v>57</v>
      </c>
      <c r="U7" s="32" t="s">
        <v>58</v>
      </c>
      <c r="V7" s="22">
        <f t="shared" si="0"/>
        <v>11</v>
      </c>
      <c r="W7" s="23">
        <f t="shared" ca="1" si="1"/>
        <v>40</v>
      </c>
    </row>
    <row r="8" spans="1:23" ht="30">
      <c r="A8" s="8">
        <v>9</v>
      </c>
      <c r="B8" s="9" t="s">
        <v>59</v>
      </c>
      <c r="C8" s="10" t="s">
        <v>23</v>
      </c>
      <c r="D8" s="11" t="s">
        <v>60</v>
      </c>
      <c r="E8" s="12" t="s">
        <v>61</v>
      </c>
      <c r="F8" s="10" t="s">
        <v>26</v>
      </c>
      <c r="G8" s="12" t="s">
        <v>27</v>
      </c>
      <c r="H8" s="10" t="s">
        <v>35</v>
      </c>
      <c r="I8" s="10">
        <v>9002071376</v>
      </c>
      <c r="J8" s="10">
        <v>9002071376</v>
      </c>
      <c r="K8" s="10" t="s">
        <v>29</v>
      </c>
      <c r="L8" s="33" t="s">
        <v>62</v>
      </c>
      <c r="M8" s="15">
        <v>32166</v>
      </c>
      <c r="N8" s="15">
        <v>54088</v>
      </c>
      <c r="O8" s="15">
        <v>45832</v>
      </c>
      <c r="P8" s="15">
        <v>45748</v>
      </c>
      <c r="Q8" s="18">
        <v>45649</v>
      </c>
      <c r="R8" s="19"/>
      <c r="S8" s="20"/>
      <c r="T8" s="21" t="s">
        <v>63</v>
      </c>
      <c r="U8" s="21" t="s">
        <v>63</v>
      </c>
      <c r="V8" s="22">
        <f t="shared" si="0"/>
        <v>11</v>
      </c>
      <c r="W8" s="23">
        <f t="shared" ca="1" si="1"/>
        <v>38</v>
      </c>
    </row>
    <row r="9" spans="1:23" ht="30">
      <c r="A9" s="8">
        <v>10</v>
      </c>
      <c r="B9" s="34" t="s">
        <v>64</v>
      </c>
      <c r="C9" s="25" t="s">
        <v>23</v>
      </c>
      <c r="D9" s="35" t="s">
        <v>65</v>
      </c>
      <c r="E9" s="10" t="s">
        <v>66</v>
      </c>
      <c r="F9" s="10" t="s">
        <v>26</v>
      </c>
      <c r="G9" s="10" t="s">
        <v>27</v>
      </c>
      <c r="H9" s="10" t="s">
        <v>28</v>
      </c>
      <c r="I9" s="13">
        <v>9002071840</v>
      </c>
      <c r="J9" s="13">
        <v>9002071840</v>
      </c>
      <c r="K9" s="10" t="s">
        <v>29</v>
      </c>
      <c r="L9" s="14" t="s">
        <v>30</v>
      </c>
      <c r="M9" s="15">
        <v>31883</v>
      </c>
      <c r="N9" s="15">
        <v>53812</v>
      </c>
      <c r="O9" s="36">
        <v>45916</v>
      </c>
      <c r="P9" s="17">
        <v>45559</v>
      </c>
      <c r="Q9" s="15">
        <v>45527</v>
      </c>
      <c r="R9" s="21" t="s">
        <v>67</v>
      </c>
      <c r="S9" s="21" t="s">
        <v>68</v>
      </c>
      <c r="T9" s="21" t="s">
        <v>69</v>
      </c>
      <c r="U9" s="21" t="s">
        <v>70</v>
      </c>
      <c r="V9" s="37">
        <f>LEN(D9)</f>
        <v>11</v>
      </c>
      <c r="W9" s="23">
        <f t="shared" ca="1" si="1"/>
        <v>38</v>
      </c>
    </row>
    <row r="10" spans="1:23" ht="45">
      <c r="A10" s="8">
        <v>11</v>
      </c>
      <c r="B10" s="9" t="s">
        <v>71</v>
      </c>
      <c r="C10" s="10" t="s">
        <v>23</v>
      </c>
      <c r="D10" s="11" t="s">
        <v>72</v>
      </c>
      <c r="E10" s="12" t="s">
        <v>73</v>
      </c>
      <c r="F10" s="10" t="s">
        <v>26</v>
      </c>
      <c r="G10" s="12" t="s">
        <v>27</v>
      </c>
      <c r="H10" s="10" t="s">
        <v>28</v>
      </c>
      <c r="I10" s="10">
        <v>9002079042</v>
      </c>
      <c r="J10" s="10">
        <v>9002079042</v>
      </c>
      <c r="K10" s="10" t="s">
        <v>29</v>
      </c>
      <c r="L10" s="14" t="s">
        <v>30</v>
      </c>
      <c r="M10" s="15">
        <v>28746</v>
      </c>
      <c r="N10" s="15">
        <v>50678</v>
      </c>
      <c r="O10" s="18">
        <v>45695</v>
      </c>
      <c r="P10" s="15">
        <v>45705</v>
      </c>
      <c r="Q10" s="18">
        <v>45339</v>
      </c>
      <c r="R10" s="19"/>
      <c r="S10" s="20"/>
      <c r="T10" s="21" t="s">
        <v>74</v>
      </c>
      <c r="U10" s="21" t="s">
        <v>75</v>
      </c>
      <c r="V10" s="22">
        <f>LEN(TEXT(D10,0))</f>
        <v>11</v>
      </c>
      <c r="W10" s="23">
        <f t="shared" ca="1" si="1"/>
        <v>47</v>
      </c>
    </row>
    <row r="11" spans="1:23" ht="30">
      <c r="A11" s="8">
        <v>12</v>
      </c>
      <c r="B11" s="37" t="s">
        <v>76</v>
      </c>
      <c r="C11" s="33" t="s">
        <v>23</v>
      </c>
      <c r="D11" s="38" t="s">
        <v>77</v>
      </c>
      <c r="E11" s="33" t="s">
        <v>78</v>
      </c>
      <c r="F11" s="10" t="s">
        <v>26</v>
      </c>
      <c r="G11" s="33" t="s">
        <v>27</v>
      </c>
      <c r="H11" s="10" t="s">
        <v>35</v>
      </c>
      <c r="I11" s="39">
        <v>9002079046</v>
      </c>
      <c r="J11" s="33"/>
      <c r="K11" s="10" t="s">
        <v>29</v>
      </c>
      <c r="L11" s="40" t="s">
        <v>79</v>
      </c>
      <c r="M11" s="16">
        <v>28308</v>
      </c>
      <c r="N11" s="16">
        <v>50252</v>
      </c>
      <c r="O11" s="16">
        <v>45359</v>
      </c>
      <c r="P11" s="16">
        <v>45891</v>
      </c>
      <c r="Q11" s="15">
        <v>45537</v>
      </c>
      <c r="R11" s="19"/>
      <c r="S11" s="20"/>
      <c r="T11" s="21" t="s">
        <v>80</v>
      </c>
      <c r="U11" s="21" t="s">
        <v>80</v>
      </c>
      <c r="V11" s="22"/>
      <c r="W11" s="23">
        <f t="shared" ca="1" si="1"/>
        <v>48</v>
      </c>
    </row>
    <row r="12" spans="1:23" ht="45">
      <c r="A12" s="8">
        <v>13</v>
      </c>
      <c r="B12" s="34" t="s">
        <v>81</v>
      </c>
      <c r="C12" s="12" t="s">
        <v>23</v>
      </c>
      <c r="D12" s="41" t="s">
        <v>82</v>
      </c>
      <c r="E12" s="25" t="s">
        <v>83</v>
      </c>
      <c r="F12" s="10" t="s">
        <v>26</v>
      </c>
      <c r="G12" s="10" t="s">
        <v>27</v>
      </c>
      <c r="H12" s="10" t="s">
        <v>28</v>
      </c>
      <c r="I12" s="10">
        <v>9002071350</v>
      </c>
      <c r="J12" s="10"/>
      <c r="K12" s="10" t="s">
        <v>29</v>
      </c>
      <c r="L12" s="33" t="s">
        <v>41</v>
      </c>
      <c r="M12" s="15">
        <v>25490</v>
      </c>
      <c r="N12" s="15">
        <v>47422</v>
      </c>
      <c r="O12" s="36">
        <v>45579</v>
      </c>
      <c r="P12" s="15">
        <v>45257</v>
      </c>
      <c r="Q12" s="15">
        <v>45242</v>
      </c>
      <c r="R12" s="37"/>
      <c r="S12" s="37"/>
      <c r="T12" s="21" t="s">
        <v>84</v>
      </c>
      <c r="U12" s="21" t="s">
        <v>85</v>
      </c>
      <c r="V12" s="28">
        <f t="shared" ref="V12:V13" si="2">LEN(D12)</f>
        <v>11</v>
      </c>
      <c r="W12" s="23">
        <f t="shared" ca="1" si="1"/>
        <v>56</v>
      </c>
    </row>
    <row r="13" spans="1:23" ht="45">
      <c r="A13" s="8">
        <v>14</v>
      </c>
      <c r="B13" s="34" t="s">
        <v>86</v>
      </c>
      <c r="C13" s="12" t="s">
        <v>23</v>
      </c>
      <c r="D13" s="35" t="s">
        <v>87</v>
      </c>
      <c r="E13" s="25" t="s">
        <v>88</v>
      </c>
      <c r="F13" s="10" t="s">
        <v>26</v>
      </c>
      <c r="G13" s="10" t="s">
        <v>89</v>
      </c>
      <c r="H13" s="10" t="s">
        <v>28</v>
      </c>
      <c r="I13" s="10">
        <v>8013389917</v>
      </c>
      <c r="J13" s="10"/>
      <c r="K13" s="10" t="s">
        <v>29</v>
      </c>
      <c r="L13" s="10" t="s">
        <v>90</v>
      </c>
      <c r="M13" s="15">
        <v>30507</v>
      </c>
      <c r="N13" s="15">
        <v>52443</v>
      </c>
      <c r="O13" s="36">
        <v>45931</v>
      </c>
      <c r="P13" s="17">
        <v>45391</v>
      </c>
      <c r="Q13" s="15">
        <v>45373</v>
      </c>
      <c r="R13" s="37" t="s">
        <v>91</v>
      </c>
      <c r="S13" s="37"/>
      <c r="T13" s="21" t="s">
        <v>92</v>
      </c>
      <c r="U13" s="21" t="s">
        <v>93</v>
      </c>
      <c r="V13" s="28">
        <f t="shared" si="2"/>
        <v>11</v>
      </c>
      <c r="W13" s="23">
        <f t="shared" ca="1" si="1"/>
        <v>42</v>
      </c>
    </row>
    <row r="14" spans="1:23" ht="45">
      <c r="A14" s="8">
        <v>15</v>
      </c>
      <c r="B14" s="9" t="s">
        <v>94</v>
      </c>
      <c r="C14" s="10" t="s">
        <v>23</v>
      </c>
      <c r="D14" s="11" t="s">
        <v>95</v>
      </c>
      <c r="E14" s="10" t="s">
        <v>96</v>
      </c>
      <c r="F14" s="10" t="s">
        <v>26</v>
      </c>
      <c r="G14" s="10" t="s">
        <v>89</v>
      </c>
      <c r="H14" s="10" t="s">
        <v>28</v>
      </c>
      <c r="I14" s="10">
        <v>9002071822</v>
      </c>
      <c r="J14" s="10">
        <v>9002071822</v>
      </c>
      <c r="K14" s="10" t="s">
        <v>29</v>
      </c>
      <c r="L14" s="10" t="s">
        <v>97</v>
      </c>
      <c r="M14" s="15">
        <v>24842</v>
      </c>
      <c r="N14" s="15">
        <v>46783</v>
      </c>
      <c r="O14" s="15">
        <v>45963</v>
      </c>
      <c r="P14" s="15">
        <v>46137</v>
      </c>
      <c r="Q14" s="15">
        <v>45845</v>
      </c>
      <c r="R14" s="19"/>
      <c r="S14" s="20"/>
      <c r="T14" s="21" t="s">
        <v>98</v>
      </c>
      <c r="U14" s="21" t="s">
        <v>98</v>
      </c>
      <c r="V14" s="22">
        <f>LEN(TEXT(D14,0))</f>
        <v>11</v>
      </c>
      <c r="W14" s="23">
        <f t="shared" ca="1" si="1"/>
        <v>58</v>
      </c>
    </row>
    <row r="15" spans="1:23" ht="45">
      <c r="A15" s="8">
        <v>16</v>
      </c>
      <c r="B15" s="34" t="s">
        <v>99</v>
      </c>
      <c r="C15" s="12" t="s">
        <v>23</v>
      </c>
      <c r="D15" s="35" t="s">
        <v>100</v>
      </c>
      <c r="E15" s="25" t="s">
        <v>101</v>
      </c>
      <c r="F15" s="10" t="s">
        <v>26</v>
      </c>
      <c r="G15" s="10" t="s">
        <v>27</v>
      </c>
      <c r="H15" s="10" t="s">
        <v>28</v>
      </c>
      <c r="I15" s="10">
        <v>8420320079</v>
      </c>
      <c r="J15" s="42"/>
      <c r="K15" s="10" t="s">
        <v>29</v>
      </c>
      <c r="L15" s="10" t="s">
        <v>97</v>
      </c>
      <c r="M15" s="15">
        <v>31625</v>
      </c>
      <c r="N15" s="15">
        <v>53570</v>
      </c>
      <c r="O15" s="36">
        <v>45923</v>
      </c>
      <c r="P15" s="17">
        <v>45283</v>
      </c>
      <c r="Q15" s="15">
        <v>45242</v>
      </c>
      <c r="R15" s="19"/>
      <c r="S15" s="19"/>
      <c r="T15" s="43" t="s">
        <v>102</v>
      </c>
      <c r="U15" s="43" t="s">
        <v>103</v>
      </c>
      <c r="V15" s="44">
        <f>LEN(D15)</f>
        <v>11</v>
      </c>
      <c r="W15" s="23">
        <f t="shared" ca="1" si="1"/>
        <v>39</v>
      </c>
    </row>
    <row r="16" spans="1:23" ht="45">
      <c r="A16" s="8">
        <v>17</v>
      </c>
      <c r="B16" s="9" t="s">
        <v>104</v>
      </c>
      <c r="C16" s="10" t="s">
        <v>23</v>
      </c>
      <c r="D16" s="45" t="s">
        <v>105</v>
      </c>
      <c r="E16" s="10" t="s">
        <v>106</v>
      </c>
      <c r="F16" s="10" t="s">
        <v>26</v>
      </c>
      <c r="G16" s="10" t="s">
        <v>89</v>
      </c>
      <c r="H16" s="10" t="s">
        <v>35</v>
      </c>
      <c r="I16" s="10">
        <v>9002079053</v>
      </c>
      <c r="J16" s="10"/>
      <c r="K16" s="10" t="s">
        <v>29</v>
      </c>
      <c r="L16" s="10" t="s">
        <v>41</v>
      </c>
      <c r="M16" s="15">
        <v>28449</v>
      </c>
      <c r="N16" s="15">
        <v>50374</v>
      </c>
      <c r="O16" s="15">
        <v>45618</v>
      </c>
      <c r="P16" s="15">
        <v>45330</v>
      </c>
      <c r="Q16" s="30">
        <v>45453</v>
      </c>
      <c r="R16" s="37"/>
      <c r="S16" s="20"/>
      <c r="T16" s="21" t="s">
        <v>107</v>
      </c>
      <c r="U16" s="21" t="s">
        <v>107</v>
      </c>
      <c r="V16" s="22">
        <f t="shared" ref="V16:V18" si="3">LEN(TEXT(D16,0))</f>
        <v>11</v>
      </c>
      <c r="W16" s="23">
        <f t="shared" ca="1" si="1"/>
        <v>48</v>
      </c>
    </row>
    <row r="17" spans="1:23" ht="30">
      <c r="A17" s="8">
        <v>18</v>
      </c>
      <c r="B17" s="9" t="s">
        <v>108</v>
      </c>
      <c r="C17" s="10" t="s">
        <v>23</v>
      </c>
      <c r="D17" s="11" t="s">
        <v>109</v>
      </c>
      <c r="E17" s="42" t="s">
        <v>110</v>
      </c>
      <c r="F17" s="10" t="s">
        <v>26</v>
      </c>
      <c r="G17" s="10" t="s">
        <v>47</v>
      </c>
      <c r="H17" s="10" t="s">
        <v>35</v>
      </c>
      <c r="I17" s="10">
        <v>9002079064</v>
      </c>
      <c r="J17" s="10">
        <v>9002079064</v>
      </c>
      <c r="K17" s="10" t="s">
        <v>29</v>
      </c>
      <c r="L17" s="10" t="s">
        <v>62</v>
      </c>
      <c r="M17" s="15">
        <v>27273</v>
      </c>
      <c r="N17" s="15">
        <v>49187</v>
      </c>
      <c r="O17" s="15">
        <v>45417</v>
      </c>
      <c r="P17" s="15">
        <v>45777</v>
      </c>
      <c r="Q17" s="15">
        <v>45563</v>
      </c>
      <c r="R17" s="19"/>
      <c r="S17" s="20"/>
      <c r="T17" s="21" t="s">
        <v>111</v>
      </c>
      <c r="U17" s="21" t="s">
        <v>111</v>
      </c>
      <c r="V17" s="22">
        <f t="shared" si="3"/>
        <v>11</v>
      </c>
      <c r="W17" s="23">
        <f t="shared" ca="1" si="1"/>
        <v>51</v>
      </c>
    </row>
    <row r="18" spans="1:23" ht="45">
      <c r="A18" s="8">
        <v>19</v>
      </c>
      <c r="B18" s="9" t="s">
        <v>112</v>
      </c>
      <c r="C18" s="10" t="s">
        <v>23</v>
      </c>
      <c r="D18" s="11" t="s">
        <v>113</v>
      </c>
      <c r="E18" s="12" t="s">
        <v>114</v>
      </c>
      <c r="F18" s="10" t="s">
        <v>26</v>
      </c>
      <c r="G18" s="12" t="s">
        <v>27</v>
      </c>
      <c r="H18" s="10" t="s">
        <v>35</v>
      </c>
      <c r="I18" s="10">
        <v>8420320016</v>
      </c>
      <c r="J18" s="10">
        <v>8420320016</v>
      </c>
      <c r="K18" s="10" t="s">
        <v>29</v>
      </c>
      <c r="L18" s="10" t="s">
        <v>115</v>
      </c>
      <c r="M18" s="15">
        <v>31865</v>
      </c>
      <c r="N18" s="15">
        <v>53782</v>
      </c>
      <c r="O18" s="15">
        <v>46124</v>
      </c>
      <c r="P18" s="17">
        <v>45115</v>
      </c>
      <c r="Q18" s="15">
        <v>45145</v>
      </c>
      <c r="R18" s="28"/>
      <c r="S18" s="28"/>
      <c r="T18" s="29" t="s">
        <v>116</v>
      </c>
      <c r="U18" s="29" t="s">
        <v>116</v>
      </c>
      <c r="V18" s="22">
        <f t="shared" si="3"/>
        <v>11</v>
      </c>
      <c r="W18" s="23">
        <f t="shared" ca="1" si="1"/>
        <v>38</v>
      </c>
    </row>
    <row r="19" spans="1:23" ht="45">
      <c r="A19" s="8">
        <v>20</v>
      </c>
      <c r="B19" s="34" t="s">
        <v>117</v>
      </c>
      <c r="C19" s="10" t="s">
        <v>23</v>
      </c>
      <c r="D19" s="46" t="s">
        <v>118</v>
      </c>
      <c r="E19" s="47" t="s">
        <v>119</v>
      </c>
      <c r="F19" s="10" t="s">
        <v>26</v>
      </c>
      <c r="G19" s="10" t="s">
        <v>27</v>
      </c>
      <c r="H19" s="10" t="s">
        <v>28</v>
      </c>
      <c r="I19" s="10">
        <v>9002071042</v>
      </c>
      <c r="J19" s="10"/>
      <c r="K19" s="10" t="s">
        <v>29</v>
      </c>
      <c r="L19" s="14" t="s">
        <v>52</v>
      </c>
      <c r="M19" s="15">
        <v>32529</v>
      </c>
      <c r="N19" s="15">
        <v>54454</v>
      </c>
      <c r="O19" s="36">
        <v>45909</v>
      </c>
      <c r="P19" s="15">
        <v>45280</v>
      </c>
      <c r="Q19" s="15">
        <v>45258</v>
      </c>
      <c r="R19" s="37"/>
      <c r="S19" s="37"/>
      <c r="T19" s="21" t="s">
        <v>120</v>
      </c>
      <c r="U19" s="21" t="s">
        <v>121</v>
      </c>
      <c r="V19" s="37">
        <f t="shared" ref="V19:V20" si="4">LEN(D19)</f>
        <v>11</v>
      </c>
      <c r="W19" s="23">
        <f t="shared" ca="1" si="1"/>
        <v>37</v>
      </c>
    </row>
    <row r="20" spans="1:23" ht="45">
      <c r="A20" s="8">
        <v>21</v>
      </c>
      <c r="B20" s="34" t="s">
        <v>122</v>
      </c>
      <c r="C20" s="10" t="s">
        <v>23</v>
      </c>
      <c r="D20" s="46" t="s">
        <v>123</v>
      </c>
      <c r="E20" s="47" t="s">
        <v>124</v>
      </c>
      <c r="F20" s="10" t="s">
        <v>26</v>
      </c>
      <c r="G20" s="10" t="s">
        <v>27</v>
      </c>
      <c r="H20" s="10" t="s">
        <v>28</v>
      </c>
      <c r="I20" s="10">
        <v>9002079011</v>
      </c>
      <c r="J20" s="13">
        <v>9007064322</v>
      </c>
      <c r="K20" s="10" t="s">
        <v>29</v>
      </c>
      <c r="L20" s="10" t="s">
        <v>41</v>
      </c>
      <c r="M20" s="15">
        <v>32551</v>
      </c>
      <c r="N20" s="15">
        <v>54482</v>
      </c>
      <c r="O20" s="36">
        <v>45936</v>
      </c>
      <c r="P20" s="15">
        <v>45305</v>
      </c>
      <c r="Q20" s="18">
        <v>45284</v>
      </c>
      <c r="R20" s="37"/>
      <c r="S20" s="37"/>
      <c r="T20" s="21" t="s">
        <v>125</v>
      </c>
      <c r="U20" s="37"/>
      <c r="V20" s="37">
        <f t="shared" si="4"/>
        <v>11</v>
      </c>
      <c r="W20" s="23">
        <f t="shared" ca="1" si="1"/>
        <v>37</v>
      </c>
    </row>
    <row r="21" spans="1:23" ht="45">
      <c r="A21" s="8">
        <v>22</v>
      </c>
      <c r="B21" s="9" t="s">
        <v>126</v>
      </c>
      <c r="C21" s="10" t="s">
        <v>23</v>
      </c>
      <c r="D21" s="11" t="s">
        <v>127</v>
      </c>
      <c r="E21" s="10" t="s">
        <v>128</v>
      </c>
      <c r="F21" s="10" t="s">
        <v>26</v>
      </c>
      <c r="G21" s="10" t="s">
        <v>27</v>
      </c>
      <c r="H21" s="10" t="s">
        <v>35</v>
      </c>
      <c r="I21" s="10">
        <v>9002071176</v>
      </c>
      <c r="J21" s="10"/>
      <c r="K21" s="10" t="s">
        <v>29</v>
      </c>
      <c r="L21" s="10" t="s">
        <v>41</v>
      </c>
      <c r="M21" s="15">
        <v>31798</v>
      </c>
      <c r="N21" s="15">
        <v>53723</v>
      </c>
      <c r="O21" s="15">
        <v>45832</v>
      </c>
      <c r="P21" s="17">
        <v>45662</v>
      </c>
      <c r="Q21" s="18">
        <v>45622</v>
      </c>
      <c r="R21" s="28"/>
      <c r="S21" s="20"/>
      <c r="T21" s="20"/>
      <c r="U21" s="29" t="s">
        <v>129</v>
      </c>
      <c r="V21" s="22">
        <f t="shared" ref="V21:V22" si="5">LEN(TEXT(D21,0))</f>
        <v>11</v>
      </c>
      <c r="W21" s="23">
        <f t="shared" ca="1" si="1"/>
        <v>39</v>
      </c>
    </row>
    <row r="22" spans="1:23" ht="45">
      <c r="A22" s="8">
        <v>23</v>
      </c>
      <c r="B22" s="9" t="s">
        <v>130</v>
      </c>
      <c r="C22" s="10" t="s">
        <v>23</v>
      </c>
      <c r="D22" s="11" t="s">
        <v>131</v>
      </c>
      <c r="E22" s="12" t="s">
        <v>132</v>
      </c>
      <c r="F22" s="10" t="s">
        <v>26</v>
      </c>
      <c r="G22" s="12" t="s">
        <v>27</v>
      </c>
      <c r="H22" s="10" t="s">
        <v>35</v>
      </c>
      <c r="I22" s="10">
        <v>8770034460</v>
      </c>
      <c r="J22" s="13">
        <v>8170034460</v>
      </c>
      <c r="K22" s="10" t="s">
        <v>29</v>
      </c>
      <c r="L22" s="10" t="s">
        <v>41</v>
      </c>
      <c r="M22" s="15">
        <v>31741</v>
      </c>
      <c r="N22" s="15">
        <v>53661</v>
      </c>
      <c r="O22" s="15">
        <v>45850</v>
      </c>
      <c r="P22" s="15">
        <v>45720</v>
      </c>
      <c r="Q22" s="15">
        <v>45674</v>
      </c>
      <c r="R22" s="19"/>
      <c r="S22" s="20"/>
      <c r="T22" s="21" t="s">
        <v>133</v>
      </c>
      <c r="U22" s="21" t="s">
        <v>134</v>
      </c>
      <c r="V22" s="22">
        <f t="shared" si="5"/>
        <v>11</v>
      </c>
      <c r="W22" s="23">
        <f t="shared" ca="1" si="1"/>
        <v>39</v>
      </c>
    </row>
    <row r="23" spans="1:23" ht="45">
      <c r="A23" s="8">
        <v>24</v>
      </c>
      <c r="B23" s="34" t="s">
        <v>135</v>
      </c>
      <c r="C23" s="25" t="s">
        <v>23</v>
      </c>
      <c r="D23" s="35" t="s">
        <v>136</v>
      </c>
      <c r="E23" s="42" t="s">
        <v>137</v>
      </c>
      <c r="F23" s="10" t="s">
        <v>26</v>
      </c>
      <c r="G23" s="10" t="s">
        <v>27</v>
      </c>
      <c r="H23" s="10" t="s">
        <v>28</v>
      </c>
      <c r="I23" s="10">
        <v>9002071797</v>
      </c>
      <c r="J23" s="10"/>
      <c r="K23" s="10" t="s">
        <v>29</v>
      </c>
      <c r="L23" s="48" t="s">
        <v>79</v>
      </c>
      <c r="M23" s="15">
        <v>31816</v>
      </c>
      <c r="N23" s="15">
        <v>53751</v>
      </c>
      <c r="O23" s="36">
        <v>45917</v>
      </c>
      <c r="P23" s="17">
        <v>45559</v>
      </c>
      <c r="Q23" s="15">
        <v>45527</v>
      </c>
      <c r="R23" s="37"/>
      <c r="S23" s="37"/>
      <c r="T23" s="21" t="s">
        <v>138</v>
      </c>
      <c r="U23" s="21" t="s">
        <v>139</v>
      </c>
      <c r="V23" s="37">
        <f>LEN(D23)</f>
        <v>11</v>
      </c>
      <c r="W23" s="23">
        <f t="shared" ca="1" si="1"/>
        <v>39</v>
      </c>
    </row>
    <row r="24" spans="1:23" ht="30">
      <c r="A24" s="8">
        <v>25</v>
      </c>
      <c r="B24" s="9" t="s">
        <v>140</v>
      </c>
      <c r="C24" s="10" t="s">
        <v>23</v>
      </c>
      <c r="D24" s="11" t="s">
        <v>141</v>
      </c>
      <c r="E24" s="31" t="s">
        <v>142</v>
      </c>
      <c r="F24" s="10" t="s">
        <v>26</v>
      </c>
      <c r="G24" s="12" t="s">
        <v>27</v>
      </c>
      <c r="H24" s="10" t="s">
        <v>35</v>
      </c>
      <c r="I24" s="10">
        <v>9002071842</v>
      </c>
      <c r="J24" s="10"/>
      <c r="K24" s="10" t="s">
        <v>29</v>
      </c>
      <c r="L24" s="12" t="s">
        <v>115</v>
      </c>
      <c r="M24" s="15">
        <v>25005</v>
      </c>
      <c r="N24" s="15">
        <v>46934</v>
      </c>
      <c r="O24" s="15">
        <v>45462</v>
      </c>
      <c r="P24" s="15">
        <v>45527</v>
      </c>
      <c r="Q24" s="18">
        <v>45369</v>
      </c>
      <c r="R24" s="19"/>
      <c r="S24" s="20"/>
      <c r="T24" s="21" t="s">
        <v>143</v>
      </c>
      <c r="U24" s="21" t="s">
        <v>143</v>
      </c>
      <c r="V24" s="22">
        <f t="shared" ref="V24:V30" si="6">LEN(TEXT(D24,0))</f>
        <v>11</v>
      </c>
      <c r="W24" s="23">
        <f t="shared" ca="1" si="1"/>
        <v>57</v>
      </c>
    </row>
    <row r="25" spans="1:23" ht="45">
      <c r="A25" s="8">
        <v>26</v>
      </c>
      <c r="B25" s="49" t="s">
        <v>144</v>
      </c>
      <c r="C25" s="50" t="s">
        <v>23</v>
      </c>
      <c r="D25" s="11" t="s">
        <v>145</v>
      </c>
      <c r="E25" s="51" t="s">
        <v>146</v>
      </c>
      <c r="F25" s="10" t="s">
        <v>26</v>
      </c>
      <c r="G25" s="10" t="s">
        <v>47</v>
      </c>
      <c r="H25" s="10" t="s">
        <v>35</v>
      </c>
      <c r="I25" s="10">
        <v>9002071844</v>
      </c>
      <c r="J25" s="13">
        <v>9002071844</v>
      </c>
      <c r="K25" s="10" t="s">
        <v>29</v>
      </c>
      <c r="L25" s="10" t="s">
        <v>90</v>
      </c>
      <c r="M25" s="15">
        <v>27169</v>
      </c>
      <c r="N25" s="15">
        <v>49095</v>
      </c>
      <c r="O25" s="15">
        <v>45646</v>
      </c>
      <c r="P25" s="17">
        <v>45222</v>
      </c>
      <c r="Q25" s="15">
        <v>45145</v>
      </c>
      <c r="R25" s="19"/>
      <c r="S25" s="20"/>
      <c r="T25" s="21" t="s">
        <v>147</v>
      </c>
      <c r="U25" s="21" t="s">
        <v>148</v>
      </c>
      <c r="V25" s="22">
        <f t="shared" si="6"/>
        <v>11</v>
      </c>
      <c r="W25" s="23">
        <f t="shared" ca="1" si="1"/>
        <v>51</v>
      </c>
    </row>
    <row r="26" spans="1:23" ht="30">
      <c r="A26" s="8">
        <v>27</v>
      </c>
      <c r="B26" s="49" t="s">
        <v>149</v>
      </c>
      <c r="C26" s="10" t="s">
        <v>23</v>
      </c>
      <c r="D26" s="11" t="s">
        <v>150</v>
      </c>
      <c r="E26" s="42" t="s">
        <v>151</v>
      </c>
      <c r="F26" s="10" t="s">
        <v>26</v>
      </c>
      <c r="G26" s="10" t="s">
        <v>89</v>
      </c>
      <c r="H26" s="10" t="s">
        <v>35</v>
      </c>
      <c r="I26" s="10">
        <v>9002071170</v>
      </c>
      <c r="J26" s="10">
        <v>9002071170</v>
      </c>
      <c r="K26" s="10" t="s">
        <v>29</v>
      </c>
      <c r="L26" s="10" t="s">
        <v>115</v>
      </c>
      <c r="M26" s="15">
        <v>24244</v>
      </c>
      <c r="N26" s="15">
        <v>46173</v>
      </c>
      <c r="O26" s="15">
        <v>45107</v>
      </c>
      <c r="P26" s="17">
        <v>45115</v>
      </c>
      <c r="Q26" s="18">
        <v>45177</v>
      </c>
      <c r="R26" s="19"/>
      <c r="S26" s="20"/>
      <c r="T26" s="21" t="s">
        <v>152</v>
      </c>
      <c r="U26" s="21" t="s">
        <v>152</v>
      </c>
      <c r="V26" s="22">
        <f t="shared" si="6"/>
        <v>11</v>
      </c>
      <c r="W26" s="23">
        <f t="shared" ca="1" si="1"/>
        <v>59</v>
      </c>
    </row>
    <row r="27" spans="1:23" ht="45">
      <c r="A27" s="8">
        <v>28</v>
      </c>
      <c r="B27" s="9" t="s">
        <v>153</v>
      </c>
      <c r="C27" s="10" t="s">
        <v>23</v>
      </c>
      <c r="D27" s="11" t="s">
        <v>154</v>
      </c>
      <c r="E27" s="10" t="s">
        <v>155</v>
      </c>
      <c r="F27" s="10" t="s">
        <v>26</v>
      </c>
      <c r="G27" s="10" t="s">
        <v>89</v>
      </c>
      <c r="H27" s="10" t="s">
        <v>35</v>
      </c>
      <c r="I27" s="10">
        <v>9002079075</v>
      </c>
      <c r="J27" s="10"/>
      <c r="K27" s="10" t="s">
        <v>29</v>
      </c>
      <c r="L27" s="10" t="s">
        <v>62</v>
      </c>
      <c r="M27" s="15">
        <v>27395</v>
      </c>
      <c r="N27" s="15">
        <v>49309</v>
      </c>
      <c r="O27" s="15">
        <v>45505</v>
      </c>
      <c r="P27" s="15">
        <v>46192</v>
      </c>
      <c r="Q27" s="15">
        <v>46017</v>
      </c>
      <c r="R27" s="28"/>
      <c r="S27" s="20"/>
      <c r="T27" s="29" t="s">
        <v>156</v>
      </c>
      <c r="U27" s="29" t="s">
        <v>157</v>
      </c>
      <c r="V27" s="22">
        <f t="shared" si="6"/>
        <v>11</v>
      </c>
      <c r="W27" s="23">
        <f t="shared" ca="1" si="1"/>
        <v>51</v>
      </c>
    </row>
    <row r="28" spans="1:23" ht="30">
      <c r="A28" s="8">
        <v>29</v>
      </c>
      <c r="B28" s="9" t="s">
        <v>158</v>
      </c>
      <c r="C28" s="10" t="s">
        <v>23</v>
      </c>
      <c r="D28" s="11" t="s">
        <v>159</v>
      </c>
      <c r="E28" s="12" t="s">
        <v>160</v>
      </c>
      <c r="F28" s="10" t="s">
        <v>26</v>
      </c>
      <c r="G28" s="12" t="s">
        <v>27</v>
      </c>
      <c r="H28" s="10" t="s">
        <v>35</v>
      </c>
      <c r="I28" s="10">
        <v>9002079076</v>
      </c>
      <c r="J28" s="13">
        <v>9002079076</v>
      </c>
      <c r="K28" s="10" t="s">
        <v>29</v>
      </c>
      <c r="L28" s="52" t="s">
        <v>62</v>
      </c>
      <c r="M28" s="15">
        <v>29130</v>
      </c>
      <c r="N28" s="15">
        <v>51074</v>
      </c>
      <c r="O28" s="15">
        <v>45567</v>
      </c>
      <c r="P28" s="15">
        <v>45527</v>
      </c>
      <c r="Q28" s="18">
        <v>45481</v>
      </c>
      <c r="R28" s="19"/>
      <c r="S28" s="20"/>
      <c r="T28" s="21" t="s">
        <v>161</v>
      </c>
      <c r="U28" s="21" t="s">
        <v>161</v>
      </c>
      <c r="V28" s="22">
        <f t="shared" si="6"/>
        <v>11</v>
      </c>
      <c r="W28" s="23">
        <f t="shared" ca="1" si="1"/>
        <v>46</v>
      </c>
    </row>
    <row r="29" spans="1:23" ht="45">
      <c r="A29" s="8">
        <v>30</v>
      </c>
      <c r="B29" s="9" t="s">
        <v>162</v>
      </c>
      <c r="C29" s="10" t="s">
        <v>23</v>
      </c>
      <c r="D29" s="53" t="s">
        <v>163</v>
      </c>
      <c r="E29" s="42" t="s">
        <v>164</v>
      </c>
      <c r="F29" s="10" t="s">
        <v>26</v>
      </c>
      <c r="G29" s="10" t="s">
        <v>47</v>
      </c>
      <c r="H29" s="10" t="s">
        <v>35</v>
      </c>
      <c r="I29" s="10">
        <v>9002071851</v>
      </c>
      <c r="J29" s="10">
        <v>9002071851</v>
      </c>
      <c r="K29" s="10" t="s">
        <v>29</v>
      </c>
      <c r="L29" s="10" t="s">
        <v>90</v>
      </c>
      <c r="M29" s="15">
        <v>28686</v>
      </c>
      <c r="N29" s="15">
        <v>50617</v>
      </c>
      <c r="O29" s="15">
        <v>45139</v>
      </c>
      <c r="P29" s="17">
        <v>45222</v>
      </c>
      <c r="Q29" s="15">
        <v>45145</v>
      </c>
      <c r="R29" s="28"/>
      <c r="S29" s="20"/>
      <c r="T29" s="21" t="s">
        <v>165</v>
      </c>
      <c r="U29" s="32" t="s">
        <v>165</v>
      </c>
      <c r="V29" s="22">
        <f t="shared" si="6"/>
        <v>11</v>
      </c>
      <c r="W29" s="23">
        <f t="shared" ca="1" si="1"/>
        <v>47</v>
      </c>
    </row>
    <row r="30" spans="1:23" ht="30">
      <c r="A30" s="8">
        <v>32</v>
      </c>
      <c r="B30" s="34" t="s">
        <v>166</v>
      </c>
      <c r="C30" s="10" t="s">
        <v>23</v>
      </c>
      <c r="D30" s="11" t="s">
        <v>167</v>
      </c>
      <c r="E30" s="12" t="s">
        <v>168</v>
      </c>
      <c r="F30" s="10" t="s">
        <v>26</v>
      </c>
      <c r="G30" s="12" t="s">
        <v>27</v>
      </c>
      <c r="H30" s="10" t="s">
        <v>28</v>
      </c>
      <c r="I30" s="10">
        <v>9002079081</v>
      </c>
      <c r="J30" s="10"/>
      <c r="K30" s="10" t="s">
        <v>29</v>
      </c>
      <c r="L30" s="10" t="s">
        <v>97</v>
      </c>
      <c r="M30" s="15">
        <v>29704</v>
      </c>
      <c r="N30" s="15">
        <v>51621</v>
      </c>
      <c r="O30" s="15">
        <v>46140</v>
      </c>
      <c r="P30" s="18">
        <v>45695</v>
      </c>
      <c r="Q30" s="18">
        <v>45705</v>
      </c>
      <c r="R30" s="37"/>
      <c r="S30" s="20"/>
      <c r="T30" s="21" t="s">
        <v>169</v>
      </c>
      <c r="U30" s="21" t="s">
        <v>170</v>
      </c>
      <c r="V30" s="22">
        <f t="shared" si="6"/>
        <v>11</v>
      </c>
      <c r="W30" s="23">
        <f t="shared" ca="1" si="1"/>
        <v>44</v>
      </c>
    </row>
    <row r="31" spans="1:23" ht="45">
      <c r="A31" s="8">
        <v>33</v>
      </c>
      <c r="B31" s="34" t="s">
        <v>171</v>
      </c>
      <c r="C31" s="12" t="s">
        <v>23</v>
      </c>
      <c r="D31" s="35" t="s">
        <v>172</v>
      </c>
      <c r="E31" s="25" t="s">
        <v>173</v>
      </c>
      <c r="F31" s="10" t="s">
        <v>26</v>
      </c>
      <c r="G31" s="10" t="s">
        <v>27</v>
      </c>
      <c r="H31" s="10" t="s">
        <v>28</v>
      </c>
      <c r="I31" s="10">
        <v>8420320041</v>
      </c>
      <c r="J31" s="10"/>
      <c r="K31" s="10" t="s">
        <v>29</v>
      </c>
      <c r="L31" s="10" t="s">
        <v>62</v>
      </c>
      <c r="M31" s="15">
        <v>33287</v>
      </c>
      <c r="N31" s="15">
        <v>55212</v>
      </c>
      <c r="O31" s="36">
        <v>45887</v>
      </c>
      <c r="P31" s="17">
        <v>45283</v>
      </c>
      <c r="Q31" s="15">
        <v>45242</v>
      </c>
      <c r="R31" s="37"/>
      <c r="S31" s="37"/>
      <c r="T31" s="21" t="s">
        <v>174</v>
      </c>
      <c r="U31" s="21" t="s">
        <v>175</v>
      </c>
      <c r="V31" s="28">
        <f>LEN(D31)</f>
        <v>11</v>
      </c>
      <c r="W31" s="23">
        <f t="shared" ca="1" si="1"/>
        <v>35</v>
      </c>
    </row>
    <row r="32" spans="1:23" ht="45">
      <c r="A32" s="8">
        <v>34</v>
      </c>
      <c r="B32" s="9" t="s">
        <v>176</v>
      </c>
      <c r="C32" s="10" t="s">
        <v>23</v>
      </c>
      <c r="D32" s="53" t="s">
        <v>177</v>
      </c>
      <c r="E32" s="10" t="s">
        <v>178</v>
      </c>
      <c r="F32" s="10" t="s">
        <v>26</v>
      </c>
      <c r="G32" s="10" t="s">
        <v>89</v>
      </c>
      <c r="H32" s="10" t="s">
        <v>35</v>
      </c>
      <c r="I32" s="10">
        <v>9002079083</v>
      </c>
      <c r="J32" s="54">
        <v>8229961147</v>
      </c>
      <c r="K32" s="10" t="s">
        <v>29</v>
      </c>
      <c r="L32" s="55" t="s">
        <v>41</v>
      </c>
      <c r="M32" s="15">
        <v>28512</v>
      </c>
      <c r="N32" s="15">
        <v>50436</v>
      </c>
      <c r="O32" s="15">
        <v>45543</v>
      </c>
      <c r="P32" s="15">
        <v>45212</v>
      </c>
      <c r="Q32" s="15">
        <v>45108</v>
      </c>
      <c r="R32" s="28"/>
      <c r="S32" s="20"/>
      <c r="T32" s="21" t="s">
        <v>179</v>
      </c>
      <c r="U32" s="21" t="s">
        <v>180</v>
      </c>
      <c r="V32" s="22">
        <f>LEN(TEXT(D32,0))</f>
        <v>11</v>
      </c>
      <c r="W32" s="23">
        <f t="shared" ca="1" si="1"/>
        <v>48</v>
      </c>
    </row>
    <row r="33" spans="1:23" ht="45">
      <c r="A33" s="8">
        <v>35</v>
      </c>
      <c r="B33" s="34" t="s">
        <v>181</v>
      </c>
      <c r="C33" s="12" t="s">
        <v>23</v>
      </c>
      <c r="D33" s="35" t="s">
        <v>182</v>
      </c>
      <c r="E33" s="25" t="s">
        <v>183</v>
      </c>
      <c r="F33" s="10" t="s">
        <v>26</v>
      </c>
      <c r="G33" s="10" t="s">
        <v>27</v>
      </c>
      <c r="H33" s="10" t="s">
        <v>28</v>
      </c>
      <c r="I33" s="10">
        <v>9002071841</v>
      </c>
      <c r="J33" s="10"/>
      <c r="K33" s="10" t="s">
        <v>29</v>
      </c>
      <c r="L33" s="10" t="s">
        <v>41</v>
      </c>
      <c r="M33" s="15">
        <v>33282</v>
      </c>
      <c r="N33" s="15">
        <v>55212</v>
      </c>
      <c r="O33" s="36">
        <v>45892</v>
      </c>
      <c r="P33" s="15">
        <v>45257</v>
      </c>
      <c r="Q33" s="15">
        <v>45242</v>
      </c>
      <c r="R33" s="37"/>
      <c r="S33" s="37"/>
      <c r="T33" s="21" t="s">
        <v>184</v>
      </c>
      <c r="U33" s="21" t="s">
        <v>185</v>
      </c>
      <c r="V33" s="28">
        <f t="shared" ref="V33:V35" si="7">LEN(D33)</f>
        <v>11</v>
      </c>
      <c r="W33" s="23">
        <f t="shared" ca="1" si="1"/>
        <v>35</v>
      </c>
    </row>
    <row r="34" spans="1:23" ht="45">
      <c r="A34" s="8">
        <v>36</v>
      </c>
      <c r="B34" s="34" t="s">
        <v>186</v>
      </c>
      <c r="C34" s="10" t="s">
        <v>23</v>
      </c>
      <c r="D34" s="56" t="s">
        <v>187</v>
      </c>
      <c r="E34" s="47" t="s">
        <v>188</v>
      </c>
      <c r="F34" s="10" t="s">
        <v>26</v>
      </c>
      <c r="G34" s="10" t="s">
        <v>27</v>
      </c>
      <c r="H34" s="10" t="s">
        <v>28</v>
      </c>
      <c r="I34" s="10">
        <v>9002071398</v>
      </c>
      <c r="J34" s="54">
        <v>7586019661</v>
      </c>
      <c r="K34" s="10" t="s">
        <v>29</v>
      </c>
      <c r="L34" s="10" t="s">
        <v>90</v>
      </c>
      <c r="M34" s="15">
        <v>32921</v>
      </c>
      <c r="N34" s="15">
        <v>54847</v>
      </c>
      <c r="O34" s="36">
        <v>45936</v>
      </c>
      <c r="P34" s="15">
        <v>45305</v>
      </c>
      <c r="Q34" s="18">
        <v>45284</v>
      </c>
      <c r="R34" s="37"/>
      <c r="S34" s="37"/>
      <c r="T34" s="21" t="s">
        <v>189</v>
      </c>
      <c r="U34" s="21" t="s">
        <v>190</v>
      </c>
      <c r="V34" s="37">
        <f t="shared" si="7"/>
        <v>11</v>
      </c>
      <c r="W34" s="23">
        <f t="shared" ca="1" si="1"/>
        <v>36</v>
      </c>
    </row>
    <row r="35" spans="1:23" ht="60">
      <c r="A35" s="8">
        <v>37</v>
      </c>
      <c r="B35" s="34" t="s">
        <v>191</v>
      </c>
      <c r="C35" s="10" t="s">
        <v>23</v>
      </c>
      <c r="D35" s="46" t="s">
        <v>192</v>
      </c>
      <c r="E35" s="47" t="s">
        <v>193</v>
      </c>
      <c r="F35" s="10" t="s">
        <v>26</v>
      </c>
      <c r="G35" s="10" t="s">
        <v>27</v>
      </c>
      <c r="H35" s="10" t="s">
        <v>28</v>
      </c>
      <c r="I35" s="10">
        <v>8170034587</v>
      </c>
      <c r="J35" s="10"/>
      <c r="K35" s="10" t="s">
        <v>29</v>
      </c>
      <c r="L35" s="48" t="s">
        <v>79</v>
      </c>
      <c r="M35" s="15">
        <v>31234</v>
      </c>
      <c r="N35" s="15">
        <v>53174</v>
      </c>
      <c r="O35" s="36">
        <v>45936</v>
      </c>
      <c r="P35" s="15">
        <v>45305</v>
      </c>
      <c r="Q35" s="18">
        <v>45284</v>
      </c>
      <c r="R35" s="37"/>
      <c r="S35" s="37"/>
      <c r="T35" s="21" t="s">
        <v>194</v>
      </c>
      <c r="U35" s="37"/>
      <c r="V35" s="37">
        <f t="shared" si="7"/>
        <v>11</v>
      </c>
      <c r="W35" s="23">
        <f t="shared" ca="1" si="1"/>
        <v>40</v>
      </c>
    </row>
    <row r="36" spans="1:23" ht="45">
      <c r="A36" s="8">
        <v>38</v>
      </c>
      <c r="B36" s="9" t="s">
        <v>195</v>
      </c>
      <c r="C36" s="10" t="s">
        <v>23</v>
      </c>
      <c r="D36" s="11" t="s">
        <v>196</v>
      </c>
      <c r="E36" s="12" t="s">
        <v>197</v>
      </c>
      <c r="F36" s="10" t="s">
        <v>26</v>
      </c>
      <c r="G36" s="12" t="s">
        <v>27</v>
      </c>
      <c r="H36" s="10" t="s">
        <v>35</v>
      </c>
      <c r="I36" s="10">
        <v>9002079019</v>
      </c>
      <c r="J36" s="10">
        <v>9002079019</v>
      </c>
      <c r="K36" s="10" t="s">
        <v>29</v>
      </c>
      <c r="L36" s="10" t="s">
        <v>198</v>
      </c>
      <c r="M36" s="15">
        <v>26265</v>
      </c>
      <c r="N36" s="15">
        <v>48182</v>
      </c>
      <c r="O36" s="15">
        <v>45641</v>
      </c>
      <c r="P36" s="15">
        <v>45232</v>
      </c>
      <c r="Q36" s="15">
        <v>45989</v>
      </c>
      <c r="R36" s="19"/>
      <c r="S36" s="20"/>
      <c r="T36" s="29" t="s">
        <v>199</v>
      </c>
      <c r="U36" s="29" t="s">
        <v>200</v>
      </c>
      <c r="V36" s="22">
        <f t="shared" ref="V36:V38" si="8">LEN(TEXT(D36,0))</f>
        <v>11</v>
      </c>
      <c r="W36" s="23">
        <f t="shared" ca="1" si="1"/>
        <v>54</v>
      </c>
    </row>
    <row r="37" spans="1:23" ht="75">
      <c r="A37" s="8">
        <v>40</v>
      </c>
      <c r="B37" s="9" t="s">
        <v>201</v>
      </c>
      <c r="C37" s="10" t="s">
        <v>23</v>
      </c>
      <c r="D37" s="11" t="s">
        <v>202</v>
      </c>
      <c r="E37" s="12" t="s">
        <v>203</v>
      </c>
      <c r="F37" s="10" t="s">
        <v>26</v>
      </c>
      <c r="G37" s="12" t="s">
        <v>27</v>
      </c>
      <c r="H37" s="10" t="s">
        <v>28</v>
      </c>
      <c r="I37" s="10">
        <v>9002079098</v>
      </c>
      <c r="J37" s="10"/>
      <c r="K37" s="10" t="s">
        <v>29</v>
      </c>
      <c r="L37" s="10" t="s">
        <v>62</v>
      </c>
      <c r="M37" s="15">
        <v>30287</v>
      </c>
      <c r="N37" s="15">
        <v>51925</v>
      </c>
      <c r="O37" s="15">
        <v>46071</v>
      </c>
      <c r="P37" s="15">
        <v>45720</v>
      </c>
      <c r="Q37" s="15">
        <v>45731</v>
      </c>
      <c r="R37" s="19"/>
      <c r="S37" s="20"/>
      <c r="T37" s="21" t="s">
        <v>204</v>
      </c>
      <c r="U37" s="21" t="s">
        <v>205</v>
      </c>
      <c r="V37" s="22">
        <f t="shared" si="8"/>
        <v>11</v>
      </c>
      <c r="W37" s="23">
        <f t="shared" ca="1" si="1"/>
        <v>43</v>
      </c>
    </row>
    <row r="38" spans="1:23" ht="30">
      <c r="A38" s="8">
        <v>41</v>
      </c>
      <c r="B38" s="9" t="s">
        <v>206</v>
      </c>
      <c r="C38" s="10" t="s">
        <v>23</v>
      </c>
      <c r="D38" s="11" t="s">
        <v>207</v>
      </c>
      <c r="E38" s="10" t="s">
        <v>208</v>
      </c>
      <c r="F38" s="10" t="s">
        <v>26</v>
      </c>
      <c r="G38" s="10" t="s">
        <v>89</v>
      </c>
      <c r="H38" s="10" t="s">
        <v>35</v>
      </c>
      <c r="I38" s="10">
        <v>9002079028</v>
      </c>
      <c r="J38" s="10">
        <v>9002079028</v>
      </c>
      <c r="K38" s="10" t="s">
        <v>29</v>
      </c>
      <c r="L38" s="25" t="s">
        <v>97</v>
      </c>
      <c r="M38" s="15">
        <v>31716</v>
      </c>
      <c r="N38" s="15">
        <v>53631</v>
      </c>
      <c r="O38" s="15">
        <v>45888</v>
      </c>
      <c r="P38" s="15">
        <v>45720</v>
      </c>
      <c r="Q38" s="18">
        <v>45705</v>
      </c>
      <c r="R38" s="19"/>
      <c r="S38" s="20"/>
      <c r="T38" s="20"/>
      <c r="U38" s="21" t="s">
        <v>209</v>
      </c>
      <c r="V38" s="22">
        <f t="shared" si="8"/>
        <v>11</v>
      </c>
      <c r="W38" s="23">
        <f t="shared" ca="1" si="1"/>
        <v>39</v>
      </c>
    </row>
    <row r="39" spans="1:23" ht="45">
      <c r="A39" s="8">
        <v>43</v>
      </c>
      <c r="B39" s="34" t="s">
        <v>210</v>
      </c>
      <c r="C39" s="10" t="s">
        <v>23</v>
      </c>
      <c r="D39" s="57" t="s">
        <v>211</v>
      </c>
      <c r="E39" s="10" t="s">
        <v>212</v>
      </c>
      <c r="F39" s="25" t="s">
        <v>26</v>
      </c>
      <c r="G39" s="10" t="s">
        <v>27</v>
      </c>
      <c r="H39" s="10" t="s">
        <v>28</v>
      </c>
      <c r="I39" s="10">
        <v>9002071780</v>
      </c>
      <c r="J39" s="58">
        <v>8274812140</v>
      </c>
      <c r="K39" s="10" t="s">
        <v>29</v>
      </c>
      <c r="L39" s="10" t="s">
        <v>41</v>
      </c>
      <c r="M39" s="15">
        <v>28856</v>
      </c>
      <c r="N39" s="15">
        <v>50770</v>
      </c>
      <c r="O39" s="15">
        <v>45292</v>
      </c>
      <c r="P39" s="17">
        <v>45475</v>
      </c>
      <c r="Q39" s="18">
        <v>45369</v>
      </c>
      <c r="R39" s="59"/>
      <c r="S39" s="20"/>
      <c r="T39" s="21" t="s">
        <v>213</v>
      </c>
      <c r="U39" s="21" t="s">
        <v>214</v>
      </c>
      <c r="V39" s="22">
        <f>LEN(D39)</f>
        <v>11</v>
      </c>
      <c r="W39" s="60"/>
    </row>
    <row r="40" spans="1:23" ht="45">
      <c r="A40" s="8">
        <v>44</v>
      </c>
      <c r="B40" s="9" t="s">
        <v>215</v>
      </c>
      <c r="C40" s="10" t="s">
        <v>23</v>
      </c>
      <c r="D40" s="11" t="s">
        <v>216</v>
      </c>
      <c r="E40" s="12" t="s">
        <v>217</v>
      </c>
      <c r="F40" s="10" t="s">
        <v>26</v>
      </c>
      <c r="G40" s="12" t="s">
        <v>27</v>
      </c>
      <c r="H40" s="10" t="s">
        <v>35</v>
      </c>
      <c r="I40" s="10">
        <v>9002079748</v>
      </c>
      <c r="J40" s="10"/>
      <c r="K40" s="10" t="s">
        <v>29</v>
      </c>
      <c r="L40" s="14" t="s">
        <v>30</v>
      </c>
      <c r="M40" s="15">
        <v>31467</v>
      </c>
      <c r="N40" s="15">
        <v>53386</v>
      </c>
      <c r="O40" s="15">
        <v>45850</v>
      </c>
      <c r="P40" s="15">
        <v>45720</v>
      </c>
      <c r="Q40" s="18">
        <v>45705</v>
      </c>
      <c r="R40" s="19"/>
      <c r="S40" s="20"/>
      <c r="T40" s="21" t="s">
        <v>218</v>
      </c>
      <c r="U40" s="21" t="s">
        <v>219</v>
      </c>
      <c r="V40" s="22">
        <f>LEN(TEXT(D40,0))</f>
        <v>11</v>
      </c>
      <c r="W40" s="23">
        <f t="shared" ref="W40:W69" ca="1" si="9">INT((TODAY()-M40)/365)</f>
        <v>40</v>
      </c>
    </row>
    <row r="41" spans="1:23" ht="30">
      <c r="A41" s="8">
        <v>45</v>
      </c>
      <c r="B41" s="9" t="s">
        <v>220</v>
      </c>
      <c r="C41" s="12" t="s">
        <v>23</v>
      </c>
      <c r="D41" s="57" t="s">
        <v>221</v>
      </c>
      <c r="E41" s="25" t="s">
        <v>222</v>
      </c>
      <c r="F41" s="10" t="s">
        <v>26</v>
      </c>
      <c r="G41" s="10" t="s">
        <v>27</v>
      </c>
      <c r="H41" s="10" t="s">
        <v>28</v>
      </c>
      <c r="I41" s="10">
        <v>8918810841</v>
      </c>
      <c r="J41" s="13">
        <v>9007574828</v>
      </c>
      <c r="K41" s="10" t="s">
        <v>29</v>
      </c>
      <c r="L41" s="13" t="s">
        <v>30</v>
      </c>
      <c r="M41" s="15">
        <v>30318</v>
      </c>
      <c r="N41" s="15">
        <v>52262</v>
      </c>
      <c r="O41" s="15">
        <v>45910</v>
      </c>
      <c r="P41" s="15">
        <v>45257</v>
      </c>
      <c r="Q41" s="15">
        <v>45242</v>
      </c>
      <c r="R41" s="20"/>
      <c r="S41" s="20"/>
      <c r="T41" s="21" t="s">
        <v>223</v>
      </c>
      <c r="U41" s="21" t="s">
        <v>224</v>
      </c>
      <c r="V41" s="22">
        <f>LEN(D41)</f>
        <v>11</v>
      </c>
      <c r="W41" s="23">
        <f t="shared" ca="1" si="9"/>
        <v>43</v>
      </c>
    </row>
    <row r="42" spans="1:23" ht="45">
      <c r="A42" s="8">
        <v>46</v>
      </c>
      <c r="B42" s="9" t="s">
        <v>225</v>
      </c>
      <c r="C42" s="10" t="s">
        <v>23</v>
      </c>
      <c r="D42" s="45" t="s">
        <v>226</v>
      </c>
      <c r="E42" s="12" t="s">
        <v>227</v>
      </c>
      <c r="F42" s="10" t="s">
        <v>26</v>
      </c>
      <c r="G42" s="12" t="s">
        <v>27</v>
      </c>
      <c r="H42" s="10" t="s">
        <v>28</v>
      </c>
      <c r="I42" s="10">
        <v>9002071393</v>
      </c>
      <c r="J42" s="10"/>
      <c r="K42" s="10" t="s">
        <v>29</v>
      </c>
      <c r="L42" s="10" t="s">
        <v>90</v>
      </c>
      <c r="M42" s="15">
        <v>29955</v>
      </c>
      <c r="N42" s="15">
        <v>51897</v>
      </c>
      <c r="O42" s="15">
        <v>45272</v>
      </c>
      <c r="P42" s="15">
        <v>45527</v>
      </c>
      <c r="Q42" s="30">
        <v>45453</v>
      </c>
      <c r="R42" s="19"/>
      <c r="S42" s="20"/>
      <c r="T42" s="21" t="s">
        <v>228</v>
      </c>
      <c r="U42" s="21" t="s">
        <v>229</v>
      </c>
      <c r="V42" s="22">
        <f>LEN(TEXT(D42,0))</f>
        <v>11</v>
      </c>
      <c r="W42" s="23">
        <f t="shared" ca="1" si="9"/>
        <v>44</v>
      </c>
    </row>
    <row r="43" spans="1:23" ht="30">
      <c r="A43" s="8">
        <v>47</v>
      </c>
      <c r="B43" s="34" t="s">
        <v>230</v>
      </c>
      <c r="C43" s="25" t="s">
        <v>23</v>
      </c>
      <c r="D43" s="35" t="s">
        <v>231</v>
      </c>
      <c r="E43" s="10" t="s">
        <v>232</v>
      </c>
      <c r="F43" s="61" t="s">
        <v>26</v>
      </c>
      <c r="G43" s="10" t="s">
        <v>27</v>
      </c>
      <c r="H43" s="10" t="s">
        <v>28</v>
      </c>
      <c r="I43" s="10">
        <v>9002071063</v>
      </c>
      <c r="J43" s="13">
        <v>9875501898</v>
      </c>
      <c r="K43" s="10" t="s">
        <v>29</v>
      </c>
      <c r="L43" s="25" t="s">
        <v>97</v>
      </c>
      <c r="M43" s="15">
        <v>30607</v>
      </c>
      <c r="N43" s="15">
        <v>52535</v>
      </c>
      <c r="O43" s="36">
        <v>45838</v>
      </c>
      <c r="P43" s="17">
        <v>45559</v>
      </c>
      <c r="Q43" s="15">
        <v>45527</v>
      </c>
      <c r="R43" s="37"/>
      <c r="S43" s="37"/>
      <c r="T43" s="21" t="s">
        <v>233</v>
      </c>
      <c r="U43" s="21" t="s">
        <v>234</v>
      </c>
      <c r="V43" s="37">
        <f>LEN(D43)</f>
        <v>11</v>
      </c>
      <c r="W43" s="23">
        <f t="shared" ca="1" si="9"/>
        <v>42</v>
      </c>
    </row>
    <row r="44" spans="1:23" ht="45">
      <c r="A44" s="8">
        <v>48</v>
      </c>
      <c r="B44" s="9" t="s">
        <v>235</v>
      </c>
      <c r="C44" s="10" t="s">
        <v>23</v>
      </c>
      <c r="D44" s="11" t="s">
        <v>236</v>
      </c>
      <c r="E44" s="12" t="s">
        <v>237</v>
      </c>
      <c r="F44" s="10" t="s">
        <v>26</v>
      </c>
      <c r="G44" s="12" t="s">
        <v>27</v>
      </c>
      <c r="H44" s="10" t="s">
        <v>28</v>
      </c>
      <c r="I44" s="10">
        <v>9002079608</v>
      </c>
      <c r="J44" s="10"/>
      <c r="K44" s="10" t="s">
        <v>29</v>
      </c>
      <c r="L44" s="62" t="s">
        <v>238</v>
      </c>
      <c r="M44" s="15">
        <v>29956</v>
      </c>
      <c r="N44" s="15">
        <v>51897</v>
      </c>
      <c r="O44" s="15">
        <v>46103</v>
      </c>
      <c r="P44" s="15">
        <v>45336</v>
      </c>
      <c r="Q44" s="17">
        <v>45591</v>
      </c>
      <c r="R44" s="19"/>
      <c r="S44" s="20"/>
      <c r="T44" s="21" t="s">
        <v>239</v>
      </c>
      <c r="U44" s="21" t="s">
        <v>240</v>
      </c>
      <c r="V44" s="22">
        <f>LEN(TEXT(D44,0))</f>
        <v>11</v>
      </c>
      <c r="W44" s="23">
        <f t="shared" ca="1" si="9"/>
        <v>44</v>
      </c>
    </row>
    <row r="45" spans="1:23" ht="45">
      <c r="A45" s="8">
        <v>49</v>
      </c>
      <c r="B45" s="34" t="s">
        <v>241</v>
      </c>
      <c r="C45" s="33" t="s">
        <v>23</v>
      </c>
      <c r="D45" s="35" t="s">
        <v>242</v>
      </c>
      <c r="E45" s="25" t="s">
        <v>243</v>
      </c>
      <c r="F45" s="10" t="s">
        <v>26</v>
      </c>
      <c r="G45" s="10" t="s">
        <v>27</v>
      </c>
      <c r="H45" s="10" t="s">
        <v>28</v>
      </c>
      <c r="I45" s="10">
        <v>9002071618</v>
      </c>
      <c r="J45" s="13">
        <v>6290775080</v>
      </c>
      <c r="K45" s="10" t="s">
        <v>29</v>
      </c>
      <c r="L45" s="10" t="s">
        <v>41</v>
      </c>
      <c r="M45" s="15">
        <v>29194</v>
      </c>
      <c r="N45" s="15">
        <v>51135</v>
      </c>
      <c r="O45" s="36">
        <v>45631</v>
      </c>
      <c r="P45" s="15">
        <v>45257</v>
      </c>
      <c r="Q45" s="15">
        <v>45242</v>
      </c>
      <c r="R45" s="19"/>
      <c r="S45" s="37"/>
      <c r="T45" s="21" t="s">
        <v>244</v>
      </c>
      <c r="U45" s="21" t="s">
        <v>245</v>
      </c>
      <c r="V45" s="28">
        <f>LEN(D45)</f>
        <v>11</v>
      </c>
      <c r="W45" s="23">
        <f t="shared" ca="1" si="9"/>
        <v>46</v>
      </c>
    </row>
    <row r="46" spans="1:23" ht="45">
      <c r="A46" s="8">
        <v>50</v>
      </c>
      <c r="B46" s="9" t="s">
        <v>246</v>
      </c>
      <c r="C46" s="10" t="s">
        <v>23</v>
      </c>
      <c r="D46" s="45" t="s">
        <v>247</v>
      </c>
      <c r="E46" s="42" t="s">
        <v>248</v>
      </c>
      <c r="F46" s="10" t="s">
        <v>26</v>
      </c>
      <c r="G46" s="10" t="s">
        <v>89</v>
      </c>
      <c r="H46" s="10" t="s">
        <v>28</v>
      </c>
      <c r="I46" s="10">
        <v>9002071247</v>
      </c>
      <c r="J46" s="13">
        <v>7908511956</v>
      </c>
      <c r="K46" s="10" t="s">
        <v>29</v>
      </c>
      <c r="L46" s="10" t="s">
        <v>249</v>
      </c>
      <c r="M46" s="15">
        <v>28333</v>
      </c>
      <c r="N46" s="15">
        <v>50252</v>
      </c>
      <c r="O46" s="15">
        <v>45326</v>
      </c>
      <c r="P46" s="15">
        <v>45748</v>
      </c>
      <c r="Q46" s="18">
        <v>45705</v>
      </c>
      <c r="R46" s="19"/>
      <c r="S46" s="20"/>
      <c r="T46" s="21" t="s">
        <v>250</v>
      </c>
      <c r="U46" s="21" t="s">
        <v>251</v>
      </c>
      <c r="V46" s="22">
        <f>LEN(TEXT(D46,0))</f>
        <v>11</v>
      </c>
      <c r="W46" s="23">
        <f t="shared" ca="1" si="9"/>
        <v>48</v>
      </c>
    </row>
    <row r="47" spans="1:23" ht="30">
      <c r="A47" s="8">
        <v>51</v>
      </c>
      <c r="B47" s="9" t="s">
        <v>252</v>
      </c>
      <c r="C47" s="10" t="s">
        <v>23</v>
      </c>
      <c r="D47" s="57" t="s">
        <v>253</v>
      </c>
      <c r="E47" s="25" t="s">
        <v>254</v>
      </c>
      <c r="F47" s="10" t="s">
        <v>26</v>
      </c>
      <c r="G47" s="10" t="s">
        <v>27</v>
      </c>
      <c r="H47" s="10" t="s">
        <v>28</v>
      </c>
      <c r="I47" s="10">
        <v>8926709485</v>
      </c>
      <c r="J47" s="10"/>
      <c r="K47" s="10" t="s">
        <v>29</v>
      </c>
      <c r="L47" s="33" t="s">
        <v>41</v>
      </c>
      <c r="M47" s="15">
        <v>30165</v>
      </c>
      <c r="N47" s="15">
        <v>52109</v>
      </c>
      <c r="O47" s="15">
        <v>45886</v>
      </c>
      <c r="P47" s="15">
        <v>45257</v>
      </c>
      <c r="Q47" s="15">
        <v>45242</v>
      </c>
      <c r="R47" s="19"/>
      <c r="S47" s="20"/>
      <c r="T47" s="21" t="s">
        <v>255</v>
      </c>
      <c r="U47" s="21" t="s">
        <v>256</v>
      </c>
      <c r="V47" s="22">
        <f>LEN(D47)</f>
        <v>11</v>
      </c>
      <c r="W47" s="23">
        <f t="shared" ca="1" si="9"/>
        <v>43</v>
      </c>
    </row>
    <row r="48" spans="1:23" ht="60">
      <c r="A48" s="8">
        <v>52</v>
      </c>
      <c r="B48" s="9" t="s">
        <v>257</v>
      </c>
      <c r="C48" s="10" t="s">
        <v>23</v>
      </c>
      <c r="D48" s="11" t="s">
        <v>258</v>
      </c>
      <c r="E48" s="12" t="s">
        <v>259</v>
      </c>
      <c r="F48" s="10" t="s">
        <v>26</v>
      </c>
      <c r="G48" s="12" t="s">
        <v>27</v>
      </c>
      <c r="H48" s="10" t="s">
        <v>35</v>
      </c>
      <c r="I48" s="10">
        <v>8420320040</v>
      </c>
      <c r="J48" s="13">
        <v>8420320040</v>
      </c>
      <c r="K48" s="10" t="s">
        <v>29</v>
      </c>
      <c r="L48" s="10" t="s">
        <v>62</v>
      </c>
      <c r="M48" s="15">
        <v>30330</v>
      </c>
      <c r="N48" s="15">
        <v>52262</v>
      </c>
      <c r="O48" s="15">
        <v>46130</v>
      </c>
      <c r="P48" s="17">
        <v>45115</v>
      </c>
      <c r="Q48" s="15">
        <v>45145</v>
      </c>
      <c r="R48" s="19"/>
      <c r="S48" s="20"/>
      <c r="T48" s="20"/>
      <c r="U48" s="29" t="s">
        <v>260</v>
      </c>
      <c r="V48" s="22">
        <f t="shared" ref="V48:V50" si="10">LEN(TEXT(D48,0))</f>
        <v>11</v>
      </c>
      <c r="W48" s="23">
        <f t="shared" ca="1" si="9"/>
        <v>43</v>
      </c>
    </row>
    <row r="49" spans="1:23" ht="30">
      <c r="A49" s="8">
        <v>53</v>
      </c>
      <c r="B49" s="9" t="s">
        <v>261</v>
      </c>
      <c r="C49" s="10" t="s">
        <v>23</v>
      </c>
      <c r="D49" s="45" t="s">
        <v>262</v>
      </c>
      <c r="E49" s="31" t="s">
        <v>263</v>
      </c>
      <c r="F49" s="10" t="s">
        <v>26</v>
      </c>
      <c r="G49" s="12" t="s">
        <v>27</v>
      </c>
      <c r="H49" s="10" t="s">
        <v>28</v>
      </c>
      <c r="I49" s="42">
        <v>9002079747</v>
      </c>
      <c r="J49" s="63">
        <v>9007745753</v>
      </c>
      <c r="K49" s="10" t="s">
        <v>29</v>
      </c>
      <c r="L49" s="10" t="s">
        <v>62</v>
      </c>
      <c r="M49" s="64">
        <v>31139</v>
      </c>
      <c r="N49" s="64">
        <v>53082</v>
      </c>
      <c r="O49" s="64">
        <v>45368</v>
      </c>
      <c r="P49" s="15">
        <v>45748</v>
      </c>
      <c r="Q49" s="65">
        <v>45591</v>
      </c>
      <c r="R49" s="19"/>
      <c r="S49" s="20"/>
      <c r="T49" s="43" t="s">
        <v>264</v>
      </c>
      <c r="U49" s="43" t="s">
        <v>265</v>
      </c>
      <c r="V49" s="60">
        <f t="shared" si="10"/>
        <v>11</v>
      </c>
      <c r="W49" s="23">
        <f t="shared" ca="1" si="9"/>
        <v>40</v>
      </c>
    </row>
    <row r="50" spans="1:23" ht="60">
      <c r="A50" s="8">
        <v>54</v>
      </c>
      <c r="B50" s="9" t="s">
        <v>266</v>
      </c>
      <c r="C50" s="10" t="s">
        <v>23</v>
      </c>
      <c r="D50" s="11" t="s">
        <v>267</v>
      </c>
      <c r="E50" s="10" t="s">
        <v>268</v>
      </c>
      <c r="F50" s="10" t="s">
        <v>26</v>
      </c>
      <c r="G50" s="10" t="s">
        <v>47</v>
      </c>
      <c r="H50" s="10" t="s">
        <v>35</v>
      </c>
      <c r="I50" s="10">
        <v>9002071877</v>
      </c>
      <c r="J50" s="10">
        <v>9002071877</v>
      </c>
      <c r="K50" s="10" t="s">
        <v>29</v>
      </c>
      <c r="L50" s="10" t="s">
        <v>41</v>
      </c>
      <c r="M50" s="15">
        <v>28383</v>
      </c>
      <c r="N50" s="15">
        <v>50313</v>
      </c>
      <c r="O50" s="15">
        <v>45557</v>
      </c>
      <c r="P50" s="15">
        <v>45043</v>
      </c>
      <c r="Q50" s="15">
        <v>46073</v>
      </c>
      <c r="R50" s="19"/>
      <c r="S50" s="20"/>
      <c r="T50" s="21" t="s">
        <v>269</v>
      </c>
      <c r="U50" s="21" t="s">
        <v>269</v>
      </c>
      <c r="V50" s="22">
        <f t="shared" si="10"/>
        <v>11</v>
      </c>
      <c r="W50" s="23">
        <f t="shared" ca="1" si="9"/>
        <v>48</v>
      </c>
    </row>
    <row r="51" spans="1:23" ht="30">
      <c r="A51" s="8">
        <v>55</v>
      </c>
      <c r="B51" s="34" t="s">
        <v>270</v>
      </c>
      <c r="C51" s="12" t="s">
        <v>23</v>
      </c>
      <c r="D51" s="35" t="s">
        <v>271</v>
      </c>
      <c r="E51" s="66" t="s">
        <v>272</v>
      </c>
      <c r="F51" s="10" t="s">
        <v>26</v>
      </c>
      <c r="G51" s="10" t="s">
        <v>27</v>
      </c>
      <c r="H51" s="10" t="s">
        <v>28</v>
      </c>
      <c r="I51" s="10">
        <v>9002071051</v>
      </c>
      <c r="J51" s="13">
        <v>9002071051</v>
      </c>
      <c r="K51" s="10" t="s">
        <v>29</v>
      </c>
      <c r="L51" s="10" t="s">
        <v>273</v>
      </c>
      <c r="M51" s="15">
        <v>32234</v>
      </c>
      <c r="N51" s="15">
        <v>54148</v>
      </c>
      <c r="O51" s="36">
        <v>45893</v>
      </c>
      <c r="P51" s="15">
        <v>45257</v>
      </c>
      <c r="Q51" s="15">
        <v>45242</v>
      </c>
      <c r="R51" s="19"/>
      <c r="S51" s="37"/>
      <c r="T51" s="21" t="s">
        <v>274</v>
      </c>
      <c r="U51" s="21" t="s">
        <v>275</v>
      </c>
      <c r="V51" s="28">
        <f>LEN(D51)</f>
        <v>11</v>
      </c>
      <c r="W51" s="23">
        <f t="shared" ca="1" si="9"/>
        <v>37</v>
      </c>
    </row>
    <row r="52" spans="1:23" ht="30">
      <c r="A52" s="8">
        <v>56</v>
      </c>
      <c r="B52" s="9" t="s">
        <v>276</v>
      </c>
      <c r="C52" s="10" t="s">
        <v>23</v>
      </c>
      <c r="D52" s="11" t="s">
        <v>277</v>
      </c>
      <c r="E52" s="25" t="s">
        <v>278</v>
      </c>
      <c r="F52" s="10" t="s">
        <v>26</v>
      </c>
      <c r="G52" s="12" t="s">
        <v>27</v>
      </c>
      <c r="H52" s="10" t="s">
        <v>35</v>
      </c>
      <c r="I52" s="10">
        <v>9002071854</v>
      </c>
      <c r="J52" s="10"/>
      <c r="K52" s="10" t="s">
        <v>29</v>
      </c>
      <c r="L52" s="25" t="s">
        <v>97</v>
      </c>
      <c r="M52" s="15">
        <v>30252</v>
      </c>
      <c r="N52" s="15">
        <v>52169</v>
      </c>
      <c r="O52" s="15">
        <v>45846</v>
      </c>
      <c r="P52" s="15">
        <v>45748</v>
      </c>
      <c r="Q52" s="18">
        <v>45705</v>
      </c>
      <c r="R52" s="37"/>
      <c r="S52" s="20"/>
      <c r="T52" s="21" t="s">
        <v>279</v>
      </c>
      <c r="U52" s="21" t="s">
        <v>280</v>
      </c>
      <c r="V52" s="22">
        <f t="shared" ref="V52:V55" si="11">LEN(TEXT(D52,0))</f>
        <v>11</v>
      </c>
      <c r="W52" s="23">
        <f t="shared" ca="1" si="9"/>
        <v>43</v>
      </c>
    </row>
    <row r="53" spans="1:23" ht="30">
      <c r="A53" s="8">
        <v>57</v>
      </c>
      <c r="B53" s="9" t="s">
        <v>281</v>
      </c>
      <c r="C53" s="10" t="s">
        <v>23</v>
      </c>
      <c r="D53" s="11" t="s">
        <v>282</v>
      </c>
      <c r="E53" s="12" t="s">
        <v>283</v>
      </c>
      <c r="F53" s="10" t="s">
        <v>26</v>
      </c>
      <c r="G53" s="12" t="s">
        <v>27</v>
      </c>
      <c r="H53" s="10" t="s">
        <v>28</v>
      </c>
      <c r="I53" s="10">
        <v>9002079752</v>
      </c>
      <c r="J53" s="10">
        <v>9002079752</v>
      </c>
      <c r="K53" s="10" t="s">
        <v>29</v>
      </c>
      <c r="L53" s="14" t="s">
        <v>52</v>
      </c>
      <c r="M53" s="15">
        <v>29772</v>
      </c>
      <c r="N53" s="15">
        <v>51713</v>
      </c>
      <c r="O53" s="15">
        <v>46062</v>
      </c>
      <c r="P53" s="15">
        <v>45551</v>
      </c>
      <c r="Q53" s="15">
        <v>45537</v>
      </c>
      <c r="R53" s="37"/>
      <c r="S53" s="20"/>
      <c r="T53" s="32" t="s">
        <v>284</v>
      </c>
      <c r="U53" s="32" t="s">
        <v>284</v>
      </c>
      <c r="V53" s="22">
        <f t="shared" si="11"/>
        <v>11</v>
      </c>
      <c r="W53" s="23">
        <f t="shared" ca="1" si="9"/>
        <v>44</v>
      </c>
    </row>
    <row r="54" spans="1:23" ht="45">
      <c r="A54" s="8">
        <v>58</v>
      </c>
      <c r="B54" s="9" t="s">
        <v>285</v>
      </c>
      <c r="C54" s="10" t="s">
        <v>23</v>
      </c>
      <c r="D54" s="11" t="s">
        <v>286</v>
      </c>
      <c r="E54" s="31" t="s">
        <v>287</v>
      </c>
      <c r="F54" s="10" t="s">
        <v>26</v>
      </c>
      <c r="G54" s="12" t="s">
        <v>27</v>
      </c>
      <c r="H54" s="10" t="s">
        <v>28</v>
      </c>
      <c r="I54" s="10">
        <v>8420320034</v>
      </c>
      <c r="J54" s="10">
        <v>8420320034</v>
      </c>
      <c r="K54" s="10" t="s">
        <v>29</v>
      </c>
      <c r="L54" s="10" t="s">
        <v>41</v>
      </c>
      <c r="M54" s="15">
        <v>31797</v>
      </c>
      <c r="N54" s="15">
        <v>53723</v>
      </c>
      <c r="O54" s="15">
        <v>45832</v>
      </c>
      <c r="P54" s="15">
        <v>45748</v>
      </c>
      <c r="Q54" s="18">
        <v>45649</v>
      </c>
      <c r="R54" s="37"/>
      <c r="S54" s="20"/>
      <c r="T54" s="20"/>
      <c r="U54" s="32" t="s">
        <v>288</v>
      </c>
      <c r="V54" s="22">
        <f t="shared" si="11"/>
        <v>11</v>
      </c>
      <c r="W54" s="23">
        <f t="shared" ca="1" si="9"/>
        <v>39</v>
      </c>
    </row>
    <row r="55" spans="1:23" ht="30">
      <c r="A55" s="8">
        <v>59</v>
      </c>
      <c r="B55" s="9" t="s">
        <v>289</v>
      </c>
      <c r="C55" s="10" t="s">
        <v>23</v>
      </c>
      <c r="D55" s="11" t="s">
        <v>290</v>
      </c>
      <c r="E55" s="13" t="s">
        <v>291</v>
      </c>
      <c r="F55" s="10" t="s">
        <v>26</v>
      </c>
      <c r="G55" s="13" t="s">
        <v>47</v>
      </c>
      <c r="H55" s="10" t="s">
        <v>35</v>
      </c>
      <c r="I55" s="13">
        <v>9002079757</v>
      </c>
      <c r="J55" s="13">
        <v>9002079757</v>
      </c>
      <c r="K55" s="10" t="s">
        <v>29</v>
      </c>
      <c r="L55" s="25" t="s">
        <v>90</v>
      </c>
      <c r="M55" s="15">
        <v>28499</v>
      </c>
      <c r="N55" s="15">
        <v>50436</v>
      </c>
      <c r="O55" s="15">
        <v>45445</v>
      </c>
      <c r="P55" s="18">
        <v>45695</v>
      </c>
      <c r="Q55" s="15">
        <v>45537</v>
      </c>
      <c r="R55" s="37"/>
      <c r="S55" s="20"/>
      <c r="T55" s="29" t="s">
        <v>292</v>
      </c>
      <c r="U55" s="29" t="s">
        <v>292</v>
      </c>
      <c r="V55" s="22">
        <f t="shared" si="11"/>
        <v>11</v>
      </c>
      <c r="W55" s="23">
        <f t="shared" ca="1" si="9"/>
        <v>48</v>
      </c>
    </row>
    <row r="56" spans="1:23" ht="45">
      <c r="A56" s="8">
        <v>60</v>
      </c>
      <c r="B56" s="34" t="s">
        <v>293</v>
      </c>
      <c r="C56" s="10" t="s">
        <v>23</v>
      </c>
      <c r="D56" s="56" t="s">
        <v>294</v>
      </c>
      <c r="E56" s="67" t="s">
        <v>295</v>
      </c>
      <c r="F56" s="61" t="s">
        <v>26</v>
      </c>
      <c r="G56" s="10" t="s">
        <v>27</v>
      </c>
      <c r="H56" s="10" t="s">
        <v>28</v>
      </c>
      <c r="I56" s="10">
        <v>9681324290</v>
      </c>
      <c r="J56" s="68">
        <v>8336828267</v>
      </c>
      <c r="K56" s="10" t="s">
        <v>29</v>
      </c>
      <c r="L56" s="25" t="s">
        <v>97</v>
      </c>
      <c r="M56" s="15">
        <v>33343</v>
      </c>
      <c r="N56" s="15">
        <v>55273</v>
      </c>
      <c r="O56" s="36">
        <v>46396</v>
      </c>
      <c r="P56" s="15">
        <v>45280</v>
      </c>
      <c r="Q56" s="15">
        <v>45258</v>
      </c>
      <c r="R56" s="37"/>
      <c r="S56" s="37"/>
      <c r="T56" s="21" t="s">
        <v>296</v>
      </c>
      <c r="U56" s="21" t="s">
        <v>297</v>
      </c>
      <c r="V56" s="37">
        <f>LEN(D56)</f>
        <v>11</v>
      </c>
      <c r="W56" s="23">
        <f t="shared" ca="1" si="9"/>
        <v>34</v>
      </c>
    </row>
    <row r="57" spans="1:23" ht="30">
      <c r="A57" s="8">
        <v>61</v>
      </c>
      <c r="B57" s="9" t="s">
        <v>298</v>
      </c>
      <c r="C57" s="10" t="s">
        <v>23</v>
      </c>
      <c r="D57" s="45" t="s">
        <v>299</v>
      </c>
      <c r="E57" s="10" t="s">
        <v>300</v>
      </c>
      <c r="F57" s="10" t="s">
        <v>26</v>
      </c>
      <c r="G57" s="10" t="s">
        <v>47</v>
      </c>
      <c r="H57" s="10" t="s">
        <v>35</v>
      </c>
      <c r="I57" s="10">
        <v>9002071887</v>
      </c>
      <c r="J57" s="10">
        <v>9002071887</v>
      </c>
      <c r="K57" s="10" t="s">
        <v>29</v>
      </c>
      <c r="L57" s="10" t="s">
        <v>62</v>
      </c>
      <c r="M57" s="15">
        <v>28477</v>
      </c>
      <c r="N57" s="15">
        <v>50405</v>
      </c>
      <c r="O57" s="15">
        <v>45646</v>
      </c>
      <c r="P57" s="15">
        <v>45043</v>
      </c>
      <c r="Q57" s="15">
        <v>46073</v>
      </c>
      <c r="R57" s="28"/>
      <c r="S57" s="28"/>
      <c r="T57" s="21" t="s">
        <v>301</v>
      </c>
      <c r="U57" s="29" t="s">
        <v>302</v>
      </c>
      <c r="V57" s="22">
        <f t="shared" ref="V57:V60" si="12">LEN(TEXT(D57,0))</f>
        <v>11</v>
      </c>
      <c r="W57" s="23">
        <f t="shared" ca="1" si="9"/>
        <v>48</v>
      </c>
    </row>
    <row r="58" spans="1:23" ht="45">
      <c r="A58" s="8">
        <v>62</v>
      </c>
      <c r="B58" s="9" t="s">
        <v>303</v>
      </c>
      <c r="C58" s="10" t="s">
        <v>23</v>
      </c>
      <c r="D58" s="11" t="s">
        <v>304</v>
      </c>
      <c r="E58" s="12" t="s">
        <v>305</v>
      </c>
      <c r="F58" s="10" t="s">
        <v>26</v>
      </c>
      <c r="G58" s="12" t="s">
        <v>27</v>
      </c>
      <c r="H58" s="10" t="s">
        <v>28</v>
      </c>
      <c r="I58" s="10">
        <v>9002079027</v>
      </c>
      <c r="J58" s="10"/>
      <c r="K58" s="10" t="s">
        <v>29</v>
      </c>
      <c r="L58" s="10" t="s">
        <v>90</v>
      </c>
      <c r="M58" s="15">
        <v>24252</v>
      </c>
      <c r="N58" s="15">
        <v>46173</v>
      </c>
      <c r="O58" s="15">
        <v>45230</v>
      </c>
      <c r="P58" s="15">
        <v>45835</v>
      </c>
      <c r="Q58" s="15">
        <v>45847</v>
      </c>
      <c r="R58" s="28"/>
      <c r="S58" s="28"/>
      <c r="T58" s="21" t="s">
        <v>306</v>
      </c>
      <c r="U58" s="21" t="s">
        <v>307</v>
      </c>
      <c r="V58" s="22">
        <f t="shared" si="12"/>
        <v>11</v>
      </c>
      <c r="W58" s="23">
        <f t="shared" ca="1" si="9"/>
        <v>59</v>
      </c>
    </row>
    <row r="59" spans="1:23" ht="60">
      <c r="A59" s="8">
        <v>63</v>
      </c>
      <c r="B59" s="9" t="s">
        <v>308</v>
      </c>
      <c r="C59" s="10" t="s">
        <v>23</v>
      </c>
      <c r="D59" s="11" t="s">
        <v>309</v>
      </c>
      <c r="E59" s="69" t="s">
        <v>310</v>
      </c>
      <c r="F59" s="10" t="s">
        <v>26</v>
      </c>
      <c r="G59" s="12" t="s">
        <v>27</v>
      </c>
      <c r="H59" s="10" t="s">
        <v>35</v>
      </c>
      <c r="I59" s="13">
        <v>9002071601</v>
      </c>
      <c r="J59" s="13">
        <v>9002071601</v>
      </c>
      <c r="K59" s="10" t="s">
        <v>29</v>
      </c>
      <c r="L59" s="25" t="s">
        <v>97</v>
      </c>
      <c r="M59" s="15">
        <v>24209</v>
      </c>
      <c r="N59" s="15">
        <v>46142</v>
      </c>
      <c r="O59" s="15">
        <v>45399</v>
      </c>
      <c r="P59" s="15">
        <v>45863</v>
      </c>
      <c r="Q59" s="15">
        <v>45847</v>
      </c>
      <c r="R59" s="28"/>
      <c r="S59" s="20"/>
      <c r="T59" s="29" t="s">
        <v>311</v>
      </c>
      <c r="U59" s="29" t="s">
        <v>311</v>
      </c>
      <c r="V59" s="22">
        <f t="shared" si="12"/>
        <v>11</v>
      </c>
      <c r="W59" s="23">
        <f t="shared" ca="1" si="9"/>
        <v>59</v>
      </c>
    </row>
    <row r="60" spans="1:23" ht="45">
      <c r="A60" s="8">
        <v>64</v>
      </c>
      <c r="B60" s="9" t="s">
        <v>312</v>
      </c>
      <c r="C60" s="10" t="s">
        <v>23</v>
      </c>
      <c r="D60" s="11" t="s">
        <v>313</v>
      </c>
      <c r="E60" s="10" t="s">
        <v>314</v>
      </c>
      <c r="F60" s="10" t="s">
        <v>26</v>
      </c>
      <c r="G60" s="10" t="s">
        <v>89</v>
      </c>
      <c r="H60" s="10" t="s">
        <v>35</v>
      </c>
      <c r="I60" s="10">
        <v>9002079306</v>
      </c>
      <c r="J60" s="13">
        <v>9002079306</v>
      </c>
      <c r="K60" s="10" t="s">
        <v>29</v>
      </c>
      <c r="L60" s="10" t="s">
        <v>198</v>
      </c>
      <c r="M60" s="15">
        <v>26513</v>
      </c>
      <c r="N60" s="15">
        <v>48457</v>
      </c>
      <c r="O60" s="15">
        <v>45141</v>
      </c>
      <c r="P60" s="30">
        <v>45453</v>
      </c>
      <c r="Q60" s="15">
        <v>45453</v>
      </c>
      <c r="R60" s="37"/>
      <c r="S60" s="20"/>
      <c r="T60" s="29" t="s">
        <v>315</v>
      </c>
      <c r="U60" s="29" t="s">
        <v>315</v>
      </c>
      <c r="V60" s="22">
        <f t="shared" si="12"/>
        <v>11</v>
      </c>
      <c r="W60" s="23">
        <f t="shared" ca="1" si="9"/>
        <v>53</v>
      </c>
    </row>
    <row r="61" spans="1:23" ht="30">
      <c r="A61" s="8">
        <v>65</v>
      </c>
      <c r="B61" s="34" t="s">
        <v>316</v>
      </c>
      <c r="C61" s="12" t="s">
        <v>23</v>
      </c>
      <c r="D61" s="57" t="s">
        <v>317</v>
      </c>
      <c r="E61" s="25" t="s">
        <v>318</v>
      </c>
      <c r="F61" s="10" t="s">
        <v>26</v>
      </c>
      <c r="G61" s="10" t="s">
        <v>89</v>
      </c>
      <c r="H61" s="10" t="s">
        <v>28</v>
      </c>
      <c r="I61" s="10">
        <v>9002079696</v>
      </c>
      <c r="J61" s="10"/>
      <c r="K61" s="10" t="s">
        <v>29</v>
      </c>
      <c r="L61" s="40" t="s">
        <v>79</v>
      </c>
      <c r="M61" s="15">
        <v>30073</v>
      </c>
      <c r="N61" s="15">
        <v>52017</v>
      </c>
      <c r="O61" s="15">
        <v>45886</v>
      </c>
      <c r="P61" s="17">
        <v>45283</v>
      </c>
      <c r="Q61" s="15">
        <v>45242</v>
      </c>
      <c r="R61" s="19"/>
      <c r="S61" s="20"/>
      <c r="T61" s="21" t="s">
        <v>319</v>
      </c>
      <c r="U61" s="21" t="s">
        <v>320</v>
      </c>
      <c r="V61" s="22">
        <f>LEN(D61)</f>
        <v>11</v>
      </c>
      <c r="W61" s="23">
        <f t="shared" ca="1" si="9"/>
        <v>43</v>
      </c>
    </row>
    <row r="62" spans="1:23" ht="30">
      <c r="A62" s="8">
        <v>66</v>
      </c>
      <c r="B62" s="9" t="s">
        <v>321</v>
      </c>
      <c r="C62" s="10" t="s">
        <v>23</v>
      </c>
      <c r="D62" s="11" t="s">
        <v>322</v>
      </c>
      <c r="E62" s="12" t="s">
        <v>323</v>
      </c>
      <c r="F62" s="10" t="s">
        <v>26</v>
      </c>
      <c r="G62" s="12" t="s">
        <v>27</v>
      </c>
      <c r="H62" s="10" t="s">
        <v>28</v>
      </c>
      <c r="I62" s="13">
        <v>8420320047</v>
      </c>
      <c r="J62" s="13">
        <v>8420320047</v>
      </c>
      <c r="K62" s="10" t="s">
        <v>29</v>
      </c>
      <c r="L62" s="70" t="s">
        <v>198</v>
      </c>
      <c r="M62" s="15">
        <v>32157</v>
      </c>
      <c r="N62" s="15">
        <v>54088</v>
      </c>
      <c r="O62" s="15">
        <v>46047</v>
      </c>
      <c r="P62" s="17">
        <v>45115</v>
      </c>
      <c r="Q62" s="15">
        <v>45145</v>
      </c>
      <c r="R62" s="28"/>
      <c r="S62" s="28"/>
      <c r="T62" s="21" t="s">
        <v>324</v>
      </c>
      <c r="U62" s="21" t="s">
        <v>325</v>
      </c>
      <c r="V62" s="22">
        <f t="shared" ref="V62:V69" si="13">LEN(TEXT(D62,0))</f>
        <v>11</v>
      </c>
      <c r="W62" s="23">
        <f t="shared" ca="1" si="9"/>
        <v>38</v>
      </c>
    </row>
    <row r="63" spans="1:23" ht="45">
      <c r="A63" s="8">
        <v>67</v>
      </c>
      <c r="B63" s="9" t="s">
        <v>326</v>
      </c>
      <c r="C63" s="10" t="s">
        <v>23</v>
      </c>
      <c r="D63" s="11" t="s">
        <v>327</v>
      </c>
      <c r="E63" s="12" t="s">
        <v>328</v>
      </c>
      <c r="F63" s="10" t="s">
        <v>26</v>
      </c>
      <c r="G63" s="12" t="s">
        <v>27</v>
      </c>
      <c r="H63" s="10" t="s">
        <v>28</v>
      </c>
      <c r="I63" s="10">
        <v>9002071897</v>
      </c>
      <c r="J63" s="10"/>
      <c r="K63" s="10" t="s">
        <v>29</v>
      </c>
      <c r="L63" s="40" t="s">
        <v>79</v>
      </c>
      <c r="M63" s="15">
        <v>24815</v>
      </c>
      <c r="N63" s="15">
        <v>46752</v>
      </c>
      <c r="O63" s="15">
        <v>45272</v>
      </c>
      <c r="P63" s="15">
        <v>45527</v>
      </c>
      <c r="Q63" s="18">
        <v>45397</v>
      </c>
      <c r="R63" s="28"/>
      <c r="S63" s="28"/>
      <c r="T63" s="43" t="s">
        <v>329</v>
      </c>
      <c r="U63" s="43" t="s">
        <v>330</v>
      </c>
      <c r="V63" s="60">
        <f t="shared" si="13"/>
        <v>11</v>
      </c>
      <c r="W63" s="23">
        <f t="shared" ca="1" si="9"/>
        <v>58</v>
      </c>
    </row>
    <row r="64" spans="1:23" ht="45">
      <c r="A64" s="8">
        <v>68</v>
      </c>
      <c r="B64" s="9" t="s">
        <v>331</v>
      </c>
      <c r="C64" s="10" t="s">
        <v>23</v>
      </c>
      <c r="D64" s="11" t="s">
        <v>332</v>
      </c>
      <c r="E64" s="31" t="s">
        <v>333</v>
      </c>
      <c r="F64" s="10" t="s">
        <v>26</v>
      </c>
      <c r="G64" s="12" t="s">
        <v>27</v>
      </c>
      <c r="H64" s="10" t="s">
        <v>35</v>
      </c>
      <c r="I64" s="10">
        <v>9002071371</v>
      </c>
      <c r="J64" s="10"/>
      <c r="K64" s="10" t="s">
        <v>29</v>
      </c>
      <c r="L64" s="25" t="s">
        <v>97</v>
      </c>
      <c r="M64" s="15">
        <v>31787</v>
      </c>
      <c r="N64" s="15">
        <v>53723</v>
      </c>
      <c r="O64" s="15">
        <v>45211</v>
      </c>
      <c r="P64" s="15">
        <v>45527</v>
      </c>
      <c r="Q64" s="30">
        <v>45453</v>
      </c>
      <c r="R64" s="28"/>
      <c r="S64" s="28"/>
      <c r="T64" s="21" t="s">
        <v>334</v>
      </c>
      <c r="U64" s="21" t="s">
        <v>334</v>
      </c>
      <c r="V64" s="22">
        <f t="shared" si="13"/>
        <v>11</v>
      </c>
      <c r="W64" s="23">
        <f t="shared" ca="1" si="9"/>
        <v>39</v>
      </c>
    </row>
    <row r="65" spans="1:23" ht="45">
      <c r="A65" s="8">
        <v>69</v>
      </c>
      <c r="B65" s="9" t="s">
        <v>335</v>
      </c>
      <c r="C65" s="10" t="s">
        <v>23</v>
      </c>
      <c r="D65" s="11" t="s">
        <v>336</v>
      </c>
      <c r="E65" s="12" t="s">
        <v>337</v>
      </c>
      <c r="F65" s="10" t="s">
        <v>26</v>
      </c>
      <c r="G65" s="12" t="s">
        <v>27</v>
      </c>
      <c r="H65" s="10" t="s">
        <v>28</v>
      </c>
      <c r="I65" s="10">
        <v>9002071064</v>
      </c>
      <c r="J65" s="10"/>
      <c r="K65" s="10" t="s">
        <v>29</v>
      </c>
      <c r="L65" s="10" t="s">
        <v>249</v>
      </c>
      <c r="M65" s="15">
        <v>31047</v>
      </c>
      <c r="N65" s="15">
        <v>52962</v>
      </c>
      <c r="O65" s="15">
        <v>45266</v>
      </c>
      <c r="P65" s="15">
        <v>45527</v>
      </c>
      <c r="Q65" s="30">
        <v>45453</v>
      </c>
      <c r="R65" s="28"/>
      <c r="S65" s="20"/>
      <c r="T65" s="21" t="s">
        <v>338</v>
      </c>
      <c r="U65" s="21" t="s">
        <v>339</v>
      </c>
      <c r="V65" s="22">
        <f t="shared" si="13"/>
        <v>11</v>
      </c>
      <c r="W65" s="23">
        <f t="shared" ca="1" si="9"/>
        <v>41</v>
      </c>
    </row>
    <row r="66" spans="1:23" ht="60">
      <c r="A66" s="8">
        <v>70</v>
      </c>
      <c r="B66" s="9" t="s">
        <v>340</v>
      </c>
      <c r="C66" s="10" t="s">
        <v>23</v>
      </c>
      <c r="D66" s="45" t="s">
        <v>341</v>
      </c>
      <c r="E66" s="10" t="s">
        <v>342</v>
      </c>
      <c r="F66" s="42" t="s">
        <v>26</v>
      </c>
      <c r="G66" s="10" t="s">
        <v>89</v>
      </c>
      <c r="H66" s="10" t="s">
        <v>28</v>
      </c>
      <c r="I66" s="10">
        <v>9002071026</v>
      </c>
      <c r="J66" s="10">
        <v>9002071026</v>
      </c>
      <c r="K66" s="10" t="s">
        <v>29</v>
      </c>
      <c r="L66" s="10" t="s">
        <v>115</v>
      </c>
      <c r="M66" s="15">
        <v>27154</v>
      </c>
      <c r="N66" s="15">
        <v>49095</v>
      </c>
      <c r="O66" s="15">
        <v>45583</v>
      </c>
      <c r="P66" s="15">
        <v>45212</v>
      </c>
      <c r="Q66" s="18">
        <v>45177</v>
      </c>
      <c r="R66" s="19"/>
      <c r="S66" s="20"/>
      <c r="T66" s="43" t="s">
        <v>343</v>
      </c>
      <c r="U66" s="43" t="s">
        <v>344</v>
      </c>
      <c r="V66" s="60">
        <f t="shared" si="13"/>
        <v>11</v>
      </c>
      <c r="W66" s="23">
        <f t="shared" ca="1" si="9"/>
        <v>51</v>
      </c>
    </row>
    <row r="67" spans="1:23" ht="75">
      <c r="A67" s="8">
        <v>71</v>
      </c>
      <c r="B67" s="9" t="s">
        <v>345</v>
      </c>
      <c r="C67" s="10" t="s">
        <v>23</v>
      </c>
      <c r="D67" s="11" t="s">
        <v>346</v>
      </c>
      <c r="E67" s="10" t="s">
        <v>347</v>
      </c>
      <c r="F67" s="10" t="s">
        <v>26</v>
      </c>
      <c r="G67" s="10" t="s">
        <v>89</v>
      </c>
      <c r="H67" s="10" t="s">
        <v>35</v>
      </c>
      <c r="I67" s="10">
        <v>9002079788</v>
      </c>
      <c r="J67" s="10">
        <v>9002079788</v>
      </c>
      <c r="K67" s="10" t="s">
        <v>29</v>
      </c>
      <c r="L67" s="13" t="s">
        <v>198</v>
      </c>
      <c r="M67" s="15">
        <v>26665</v>
      </c>
      <c r="N67" s="15">
        <v>48579</v>
      </c>
      <c r="O67" s="15">
        <v>45301</v>
      </c>
      <c r="P67" s="15">
        <v>45212</v>
      </c>
      <c r="Q67" s="15">
        <v>45108</v>
      </c>
      <c r="R67" s="19"/>
      <c r="S67" s="20"/>
      <c r="T67" s="21" t="s">
        <v>348</v>
      </c>
      <c r="U67" s="21" t="s">
        <v>349</v>
      </c>
      <c r="V67" s="22">
        <f t="shared" si="13"/>
        <v>11</v>
      </c>
      <c r="W67" s="23">
        <f t="shared" ca="1" si="9"/>
        <v>53</v>
      </c>
    </row>
    <row r="68" spans="1:23" ht="30">
      <c r="A68" s="8">
        <v>72</v>
      </c>
      <c r="B68" s="9" t="s">
        <v>350</v>
      </c>
      <c r="C68" s="10" t="s">
        <v>23</v>
      </c>
      <c r="D68" s="45" t="s">
        <v>351</v>
      </c>
      <c r="E68" s="12" t="s">
        <v>352</v>
      </c>
      <c r="F68" s="10" t="s">
        <v>26</v>
      </c>
      <c r="G68" s="12" t="s">
        <v>27</v>
      </c>
      <c r="H68" s="10" t="s">
        <v>35</v>
      </c>
      <c r="I68" s="10">
        <v>9002079003</v>
      </c>
      <c r="J68" s="13">
        <v>9002079003</v>
      </c>
      <c r="K68" s="10" t="s">
        <v>29</v>
      </c>
      <c r="L68" s="13" t="s">
        <v>62</v>
      </c>
      <c r="M68" s="15">
        <v>29621</v>
      </c>
      <c r="N68" s="15">
        <v>51560</v>
      </c>
      <c r="O68" s="15">
        <v>46008</v>
      </c>
      <c r="P68" s="15">
        <v>45501</v>
      </c>
      <c r="Q68" s="18">
        <v>45481</v>
      </c>
      <c r="R68" s="28"/>
      <c r="S68" s="20"/>
      <c r="T68" s="29" t="s">
        <v>353</v>
      </c>
      <c r="U68" s="29" t="s">
        <v>353</v>
      </c>
      <c r="V68" s="22">
        <f t="shared" si="13"/>
        <v>11</v>
      </c>
      <c r="W68" s="23">
        <f t="shared" ca="1" si="9"/>
        <v>45</v>
      </c>
    </row>
    <row r="69" spans="1:23" ht="45">
      <c r="A69" s="8">
        <v>73</v>
      </c>
      <c r="B69" s="9" t="s">
        <v>354</v>
      </c>
      <c r="C69" s="10" t="s">
        <v>23</v>
      </c>
      <c r="D69" s="11" t="s">
        <v>355</v>
      </c>
      <c r="E69" s="10" t="s">
        <v>356</v>
      </c>
      <c r="F69" s="42" t="s">
        <v>26</v>
      </c>
      <c r="G69" s="10" t="s">
        <v>89</v>
      </c>
      <c r="H69" s="10" t="s">
        <v>35</v>
      </c>
      <c r="I69" s="10">
        <v>9002079792</v>
      </c>
      <c r="J69" s="13">
        <v>9002079792</v>
      </c>
      <c r="K69" s="10" t="s">
        <v>29</v>
      </c>
      <c r="L69" s="25" t="s">
        <v>97</v>
      </c>
      <c r="M69" s="15">
        <v>26505</v>
      </c>
      <c r="N69" s="15">
        <v>48426</v>
      </c>
      <c r="O69" s="15">
        <v>45120</v>
      </c>
      <c r="P69" s="15">
        <v>45807</v>
      </c>
      <c r="Q69" s="64">
        <v>45786</v>
      </c>
      <c r="R69" s="19"/>
      <c r="S69" s="20"/>
      <c r="T69" s="43" t="s">
        <v>357</v>
      </c>
      <c r="U69" s="43" t="s">
        <v>357</v>
      </c>
      <c r="V69" s="60">
        <f t="shared" si="13"/>
        <v>11</v>
      </c>
      <c r="W69" s="23">
        <f t="shared" ca="1" si="9"/>
        <v>53</v>
      </c>
    </row>
    <row r="70" spans="1:23" ht="30">
      <c r="A70" s="8">
        <v>74</v>
      </c>
      <c r="B70" s="9" t="s">
        <v>358</v>
      </c>
      <c r="C70" s="10" t="s">
        <v>23</v>
      </c>
      <c r="D70" s="57" t="s">
        <v>359</v>
      </c>
      <c r="E70" s="10" t="s">
        <v>360</v>
      </c>
      <c r="F70" s="25" t="s">
        <v>26</v>
      </c>
      <c r="G70" s="10" t="s">
        <v>27</v>
      </c>
      <c r="H70" s="10" t="s">
        <v>28</v>
      </c>
      <c r="I70" s="10">
        <v>9002079616</v>
      </c>
      <c r="J70" s="71"/>
      <c r="K70" s="10" t="s">
        <v>29</v>
      </c>
      <c r="L70" s="10" t="s">
        <v>79</v>
      </c>
      <c r="M70" s="15">
        <v>29999</v>
      </c>
      <c r="N70" s="15">
        <v>51925</v>
      </c>
      <c r="O70" s="15">
        <v>46061</v>
      </c>
      <c r="P70" s="15">
        <v>45305</v>
      </c>
      <c r="Q70" s="18">
        <v>45284</v>
      </c>
      <c r="R70" s="20"/>
      <c r="S70" s="20"/>
      <c r="T70" s="43" t="s">
        <v>361</v>
      </c>
      <c r="U70" s="72"/>
      <c r="V70" s="60">
        <f>LEN(D70)</f>
        <v>11</v>
      </c>
      <c r="W70" s="60"/>
    </row>
    <row r="71" spans="1:23" ht="60">
      <c r="A71" s="8">
        <v>75</v>
      </c>
      <c r="B71" s="9" t="s">
        <v>362</v>
      </c>
      <c r="C71" s="10" t="s">
        <v>23</v>
      </c>
      <c r="D71" s="53" t="s">
        <v>363</v>
      </c>
      <c r="E71" s="12" t="s">
        <v>364</v>
      </c>
      <c r="F71" s="42" t="s">
        <v>26</v>
      </c>
      <c r="G71" s="12" t="s">
        <v>27</v>
      </c>
      <c r="H71" s="10" t="s">
        <v>35</v>
      </c>
      <c r="I71" s="10">
        <v>8420320054</v>
      </c>
      <c r="J71" s="10">
        <v>8420320054</v>
      </c>
      <c r="K71" s="10" t="s">
        <v>29</v>
      </c>
      <c r="L71" s="70" t="s">
        <v>62</v>
      </c>
      <c r="M71" s="15">
        <v>32878</v>
      </c>
      <c r="N71" s="15">
        <v>54819</v>
      </c>
      <c r="O71" s="15">
        <v>46062</v>
      </c>
      <c r="P71" s="17">
        <v>45115</v>
      </c>
      <c r="Q71" s="15">
        <v>45145</v>
      </c>
      <c r="R71" s="28"/>
      <c r="S71" s="20"/>
      <c r="T71" s="21" t="s">
        <v>365</v>
      </c>
      <c r="U71" s="29" t="s">
        <v>366</v>
      </c>
      <c r="V71" s="22">
        <f>LEN(TEXT(D71,0))</f>
        <v>11</v>
      </c>
      <c r="W71" s="23">
        <f t="shared" ref="W71:W83" ca="1" si="14">INT((TODAY()-M71)/365)</f>
        <v>36</v>
      </c>
    </row>
    <row r="72" spans="1:23" ht="45">
      <c r="A72" s="8">
        <v>76</v>
      </c>
      <c r="B72" s="34" t="s">
        <v>367</v>
      </c>
      <c r="C72" s="10" t="s">
        <v>23</v>
      </c>
      <c r="D72" s="46" t="s">
        <v>368</v>
      </c>
      <c r="E72" s="47" t="s">
        <v>369</v>
      </c>
      <c r="F72" s="42" t="s">
        <v>26</v>
      </c>
      <c r="G72" s="10" t="s">
        <v>47</v>
      </c>
      <c r="H72" s="10" t="s">
        <v>28</v>
      </c>
      <c r="I72" s="10">
        <v>9002071358</v>
      </c>
      <c r="J72" s="13">
        <v>9002435743</v>
      </c>
      <c r="K72" s="10" t="s">
        <v>29</v>
      </c>
      <c r="L72" s="10" t="s">
        <v>41</v>
      </c>
      <c r="M72" s="15">
        <v>31599</v>
      </c>
      <c r="N72" s="15">
        <v>53539</v>
      </c>
      <c r="O72" s="36">
        <v>46250</v>
      </c>
      <c r="P72" s="15">
        <v>45776</v>
      </c>
      <c r="Q72" s="15">
        <v>45766</v>
      </c>
      <c r="R72" s="37"/>
      <c r="S72" s="37"/>
      <c r="T72" s="21" t="s">
        <v>370</v>
      </c>
      <c r="U72" s="21" t="s">
        <v>371</v>
      </c>
      <c r="V72" s="37">
        <f t="shared" ref="V72:V82" si="15">LEN(D72)</f>
        <v>11</v>
      </c>
      <c r="W72" s="23">
        <f t="shared" ca="1" si="14"/>
        <v>39</v>
      </c>
    </row>
    <row r="73" spans="1:23" ht="75">
      <c r="A73" s="8">
        <v>77</v>
      </c>
      <c r="B73" s="34" t="s">
        <v>372</v>
      </c>
      <c r="C73" s="10" t="s">
        <v>23</v>
      </c>
      <c r="D73" s="46" t="s">
        <v>373</v>
      </c>
      <c r="E73" s="47" t="s">
        <v>374</v>
      </c>
      <c r="F73" s="25" t="s">
        <v>375</v>
      </c>
      <c r="G73" s="10" t="s">
        <v>27</v>
      </c>
      <c r="H73" s="10" t="s">
        <v>28</v>
      </c>
      <c r="I73" s="10">
        <v>9002079687</v>
      </c>
      <c r="J73" s="10"/>
      <c r="K73" s="10" t="s">
        <v>29</v>
      </c>
      <c r="L73" s="13" t="s">
        <v>90</v>
      </c>
      <c r="M73" s="15">
        <v>31855</v>
      </c>
      <c r="N73" s="15">
        <v>53782</v>
      </c>
      <c r="O73" s="36">
        <v>45838</v>
      </c>
      <c r="P73" s="15">
        <v>45776</v>
      </c>
      <c r="Q73" s="15">
        <v>45766</v>
      </c>
      <c r="R73" s="21" t="s">
        <v>376</v>
      </c>
      <c r="S73" s="21" t="s">
        <v>376</v>
      </c>
      <c r="T73" s="21" t="s">
        <v>377</v>
      </c>
      <c r="U73" s="21" t="s">
        <v>378</v>
      </c>
      <c r="V73" s="37">
        <f t="shared" si="15"/>
        <v>11</v>
      </c>
      <c r="W73" s="23">
        <f t="shared" ca="1" si="14"/>
        <v>39</v>
      </c>
    </row>
    <row r="74" spans="1:23" ht="45">
      <c r="A74" s="8">
        <v>78</v>
      </c>
      <c r="B74" s="34" t="s">
        <v>379</v>
      </c>
      <c r="C74" s="10" t="s">
        <v>23</v>
      </c>
      <c r="D74" s="46" t="s">
        <v>380</v>
      </c>
      <c r="E74" s="47" t="s">
        <v>381</v>
      </c>
      <c r="F74" s="10" t="s">
        <v>375</v>
      </c>
      <c r="G74" s="10" t="s">
        <v>27</v>
      </c>
      <c r="H74" s="10" t="s">
        <v>28</v>
      </c>
      <c r="I74" s="10">
        <v>9002079768</v>
      </c>
      <c r="J74" s="10"/>
      <c r="K74" s="10" t="s">
        <v>29</v>
      </c>
      <c r="L74" s="10" t="s">
        <v>52</v>
      </c>
      <c r="M74" s="15">
        <v>31358</v>
      </c>
      <c r="N74" s="15">
        <v>53296</v>
      </c>
      <c r="O74" s="36">
        <v>45836</v>
      </c>
      <c r="P74" s="15">
        <v>45776</v>
      </c>
      <c r="Q74" s="15">
        <v>45766</v>
      </c>
      <c r="R74" s="21" t="s">
        <v>382</v>
      </c>
      <c r="S74" s="37"/>
      <c r="T74" s="21" t="s">
        <v>383</v>
      </c>
      <c r="U74" s="21" t="s">
        <v>384</v>
      </c>
      <c r="V74" s="37">
        <f t="shared" si="15"/>
        <v>11</v>
      </c>
      <c r="W74" s="23">
        <f t="shared" ca="1" si="14"/>
        <v>40</v>
      </c>
    </row>
    <row r="75" spans="1:23" ht="45">
      <c r="A75" s="8">
        <v>80</v>
      </c>
      <c r="B75" s="34" t="s">
        <v>385</v>
      </c>
      <c r="C75" s="10" t="s">
        <v>23</v>
      </c>
      <c r="D75" s="46" t="s">
        <v>386</v>
      </c>
      <c r="E75" s="47" t="s">
        <v>387</v>
      </c>
      <c r="F75" s="10" t="s">
        <v>26</v>
      </c>
      <c r="G75" s="10" t="s">
        <v>27</v>
      </c>
      <c r="H75" s="10" t="s">
        <v>28</v>
      </c>
      <c r="I75" s="10">
        <v>9002071056</v>
      </c>
      <c r="J75" s="10"/>
      <c r="K75" s="10" t="s">
        <v>29</v>
      </c>
      <c r="L75" s="10" t="s">
        <v>198</v>
      </c>
      <c r="M75" s="15">
        <v>32697</v>
      </c>
      <c r="N75" s="15">
        <v>54635</v>
      </c>
      <c r="O75" s="36">
        <v>46013</v>
      </c>
      <c r="P75" s="17">
        <v>45794</v>
      </c>
      <c r="Q75" s="15">
        <v>45842</v>
      </c>
      <c r="R75" s="37"/>
      <c r="S75" s="21" t="s">
        <v>388</v>
      </c>
      <c r="T75" s="21" t="s">
        <v>389</v>
      </c>
      <c r="U75" s="37"/>
      <c r="V75" s="37">
        <f t="shared" si="15"/>
        <v>11</v>
      </c>
      <c r="W75" s="23">
        <f t="shared" ca="1" si="14"/>
        <v>36</v>
      </c>
    </row>
    <row r="76" spans="1:23" ht="45">
      <c r="A76" s="8">
        <v>81</v>
      </c>
      <c r="B76" s="73" t="s">
        <v>390</v>
      </c>
      <c r="C76" s="10" t="s">
        <v>23</v>
      </c>
      <c r="D76" s="74" t="s">
        <v>391</v>
      </c>
      <c r="E76" s="47" t="s">
        <v>392</v>
      </c>
      <c r="F76" s="61" t="s">
        <v>26</v>
      </c>
      <c r="G76" s="10" t="s">
        <v>27</v>
      </c>
      <c r="H76" s="10" t="s">
        <v>28</v>
      </c>
      <c r="I76" s="10">
        <v>9002071340</v>
      </c>
      <c r="J76" s="13">
        <v>8116771615</v>
      </c>
      <c r="K76" s="10" t="s">
        <v>29</v>
      </c>
      <c r="L76" s="10" t="s">
        <v>90</v>
      </c>
      <c r="M76" s="15">
        <v>31199</v>
      </c>
      <c r="N76" s="15">
        <v>53113</v>
      </c>
      <c r="O76" s="36">
        <v>45872</v>
      </c>
      <c r="P76" s="17">
        <v>45825</v>
      </c>
      <c r="Q76" s="15">
        <v>45842</v>
      </c>
      <c r="R76" s="37"/>
      <c r="S76" s="37"/>
      <c r="T76" s="21" t="s">
        <v>393</v>
      </c>
      <c r="U76" s="21" t="s">
        <v>394</v>
      </c>
      <c r="V76" s="37">
        <f t="shared" si="15"/>
        <v>11</v>
      </c>
      <c r="W76" s="23">
        <f t="shared" ca="1" si="14"/>
        <v>40</v>
      </c>
    </row>
    <row r="77" spans="1:23" ht="45">
      <c r="A77" s="8">
        <v>82</v>
      </c>
      <c r="B77" s="73" t="s">
        <v>395</v>
      </c>
      <c r="C77" s="10" t="s">
        <v>23</v>
      </c>
      <c r="D77" s="75" t="s">
        <v>396</v>
      </c>
      <c r="E77" s="47" t="s">
        <v>397</v>
      </c>
      <c r="F77" s="61" t="s">
        <v>26</v>
      </c>
      <c r="G77" s="10" t="s">
        <v>27</v>
      </c>
      <c r="H77" s="10" t="s">
        <v>28</v>
      </c>
      <c r="I77" s="10">
        <v>9733567718</v>
      </c>
      <c r="J77" s="10"/>
      <c r="K77" s="10" t="s">
        <v>29</v>
      </c>
      <c r="L77" s="10" t="s">
        <v>249</v>
      </c>
      <c r="M77" s="15">
        <v>31274</v>
      </c>
      <c r="N77" s="15">
        <v>53205</v>
      </c>
      <c r="O77" s="36">
        <v>46075</v>
      </c>
      <c r="P77" s="17">
        <v>45825</v>
      </c>
      <c r="Q77" s="15">
        <v>45842</v>
      </c>
      <c r="R77" s="37"/>
      <c r="S77" s="37"/>
      <c r="T77" s="21" t="s">
        <v>398</v>
      </c>
      <c r="U77" s="21" t="s">
        <v>399</v>
      </c>
      <c r="V77" s="37">
        <f t="shared" si="15"/>
        <v>11</v>
      </c>
      <c r="W77" s="23">
        <f t="shared" ca="1" si="14"/>
        <v>40</v>
      </c>
    </row>
    <row r="78" spans="1:23" ht="30">
      <c r="A78" s="8">
        <v>83</v>
      </c>
      <c r="B78" s="73" t="s">
        <v>400</v>
      </c>
      <c r="C78" s="10" t="s">
        <v>23</v>
      </c>
      <c r="D78" s="74" t="s">
        <v>401</v>
      </c>
      <c r="E78" s="47" t="s">
        <v>402</v>
      </c>
      <c r="F78" s="10" t="s">
        <v>26</v>
      </c>
      <c r="G78" s="10" t="s">
        <v>27</v>
      </c>
      <c r="H78" s="10" t="s">
        <v>28</v>
      </c>
      <c r="I78" s="10">
        <v>8250849796</v>
      </c>
      <c r="J78" s="10"/>
      <c r="K78" s="10" t="s">
        <v>29</v>
      </c>
      <c r="L78" s="10" t="s">
        <v>62</v>
      </c>
      <c r="M78" s="15">
        <v>30002</v>
      </c>
      <c r="N78" s="15">
        <v>51925</v>
      </c>
      <c r="O78" s="36">
        <v>46063</v>
      </c>
      <c r="P78" s="17">
        <v>45825</v>
      </c>
      <c r="Q78" s="15">
        <v>45842</v>
      </c>
      <c r="R78" s="37"/>
      <c r="S78" s="37"/>
      <c r="T78" s="21" t="s">
        <v>403</v>
      </c>
      <c r="U78" s="21" t="s">
        <v>404</v>
      </c>
      <c r="V78" s="37">
        <f t="shared" si="15"/>
        <v>11</v>
      </c>
      <c r="W78" s="23">
        <f t="shared" ca="1" si="14"/>
        <v>44</v>
      </c>
    </row>
    <row r="79" spans="1:23" ht="45">
      <c r="A79" s="8">
        <v>84</v>
      </c>
      <c r="B79" s="34" t="s">
        <v>405</v>
      </c>
      <c r="C79" s="10" t="s">
        <v>23</v>
      </c>
      <c r="D79" s="74" t="s">
        <v>406</v>
      </c>
      <c r="E79" s="67" t="s">
        <v>407</v>
      </c>
      <c r="F79" s="10" t="s">
        <v>26</v>
      </c>
      <c r="G79" s="10" t="s">
        <v>27</v>
      </c>
      <c r="H79" s="10" t="s">
        <v>28</v>
      </c>
      <c r="I79" s="10">
        <v>8910360433</v>
      </c>
      <c r="J79" s="10">
        <v>8910360433</v>
      </c>
      <c r="K79" s="10" t="s">
        <v>29</v>
      </c>
      <c r="L79" s="10" t="s">
        <v>41</v>
      </c>
      <c r="M79" s="15">
        <v>32523</v>
      </c>
      <c r="N79" s="15">
        <v>54454</v>
      </c>
      <c r="O79" s="36">
        <v>46062</v>
      </c>
      <c r="P79" s="15">
        <v>45268</v>
      </c>
      <c r="Q79" s="15">
        <v>45842</v>
      </c>
      <c r="R79" s="21" t="s">
        <v>408</v>
      </c>
      <c r="S79" s="21" t="s">
        <v>409</v>
      </c>
      <c r="T79" s="21" t="s">
        <v>410</v>
      </c>
      <c r="U79" s="21" t="s">
        <v>411</v>
      </c>
      <c r="V79" s="37">
        <f t="shared" si="15"/>
        <v>11</v>
      </c>
      <c r="W79" s="23">
        <f t="shared" ca="1" si="14"/>
        <v>37</v>
      </c>
    </row>
    <row r="80" spans="1:23" ht="30">
      <c r="A80" s="8">
        <v>85</v>
      </c>
      <c r="B80" s="34" t="s">
        <v>412</v>
      </c>
      <c r="C80" s="10" t="s">
        <v>23</v>
      </c>
      <c r="D80" s="46" t="s">
        <v>413</v>
      </c>
      <c r="E80" s="47" t="s">
        <v>414</v>
      </c>
      <c r="F80" s="42" t="s">
        <v>26</v>
      </c>
      <c r="G80" s="10" t="s">
        <v>27</v>
      </c>
      <c r="H80" s="10" t="s">
        <v>28</v>
      </c>
      <c r="I80" s="10">
        <v>7004595561</v>
      </c>
      <c r="J80" s="10"/>
      <c r="K80" s="10" t="s">
        <v>29</v>
      </c>
      <c r="L80" s="70" t="s">
        <v>62</v>
      </c>
      <c r="M80" s="15">
        <v>32540</v>
      </c>
      <c r="N80" s="15">
        <v>54454</v>
      </c>
      <c r="O80" s="36">
        <v>46074</v>
      </c>
      <c r="P80" s="17">
        <v>45825</v>
      </c>
      <c r="Q80" s="15">
        <v>45842</v>
      </c>
      <c r="R80" s="37"/>
      <c r="S80" s="37"/>
      <c r="T80" s="21" t="s">
        <v>415</v>
      </c>
      <c r="U80" s="21" t="s">
        <v>416</v>
      </c>
      <c r="V80" s="37">
        <f t="shared" si="15"/>
        <v>11</v>
      </c>
      <c r="W80" s="23">
        <f t="shared" ca="1" si="14"/>
        <v>37</v>
      </c>
    </row>
    <row r="81" spans="1:23" ht="45">
      <c r="A81" s="8">
        <v>86</v>
      </c>
      <c r="B81" s="73" t="s">
        <v>417</v>
      </c>
      <c r="C81" s="10" t="s">
        <v>23</v>
      </c>
      <c r="D81" s="74" t="s">
        <v>418</v>
      </c>
      <c r="E81" s="47" t="s">
        <v>419</v>
      </c>
      <c r="F81" s="61" t="s">
        <v>26</v>
      </c>
      <c r="G81" s="10" t="s">
        <v>27</v>
      </c>
      <c r="H81" s="10" t="s">
        <v>28</v>
      </c>
      <c r="I81" s="10">
        <v>6289726674</v>
      </c>
      <c r="J81" s="13">
        <v>7450833403</v>
      </c>
      <c r="K81" s="10" t="s">
        <v>29</v>
      </c>
      <c r="L81" s="33" t="s">
        <v>62</v>
      </c>
      <c r="M81" s="15">
        <v>31361</v>
      </c>
      <c r="N81" s="15">
        <v>53296</v>
      </c>
      <c r="O81" s="36">
        <v>46067</v>
      </c>
      <c r="P81" s="15">
        <v>45268</v>
      </c>
      <c r="Q81" s="15">
        <v>45842</v>
      </c>
      <c r="R81" s="37"/>
      <c r="S81" s="37"/>
      <c r="T81" s="21" t="s">
        <v>420</v>
      </c>
      <c r="U81" s="21" t="s">
        <v>421</v>
      </c>
      <c r="V81" s="37">
        <f t="shared" si="15"/>
        <v>11</v>
      </c>
      <c r="W81" s="23">
        <f t="shared" ca="1" si="14"/>
        <v>40</v>
      </c>
    </row>
    <row r="82" spans="1:23" ht="45">
      <c r="A82" s="8">
        <v>87</v>
      </c>
      <c r="B82" s="34" t="s">
        <v>422</v>
      </c>
      <c r="C82" s="76" t="s">
        <v>23</v>
      </c>
      <c r="D82" s="46" t="s">
        <v>423</v>
      </c>
      <c r="E82" s="47" t="s">
        <v>424</v>
      </c>
      <c r="F82" s="10" t="s">
        <v>26</v>
      </c>
      <c r="G82" s="10" t="s">
        <v>27</v>
      </c>
      <c r="H82" s="10" t="s">
        <v>28</v>
      </c>
      <c r="I82" s="10">
        <v>6291682607</v>
      </c>
      <c r="J82" s="25"/>
      <c r="K82" s="10" t="s">
        <v>29</v>
      </c>
      <c r="L82" s="10" t="s">
        <v>97</v>
      </c>
      <c r="M82" s="15">
        <v>31588</v>
      </c>
      <c r="N82" s="15">
        <v>53508</v>
      </c>
      <c r="O82" s="36">
        <v>46060</v>
      </c>
      <c r="P82" s="15">
        <v>45337</v>
      </c>
      <c r="Q82" s="18">
        <v>45284</v>
      </c>
      <c r="R82" s="37"/>
      <c r="S82" s="37"/>
      <c r="T82" s="21" t="s">
        <v>425</v>
      </c>
      <c r="U82" s="21" t="s">
        <v>426</v>
      </c>
      <c r="V82" s="37">
        <f t="shared" si="15"/>
        <v>11</v>
      </c>
      <c r="W82" s="23">
        <f t="shared" ca="1" si="14"/>
        <v>39</v>
      </c>
    </row>
    <row r="83" spans="1:23" ht="30">
      <c r="A83" s="8">
        <v>88</v>
      </c>
      <c r="B83" s="34" t="s">
        <v>427</v>
      </c>
      <c r="C83" s="76" t="s">
        <v>23</v>
      </c>
      <c r="D83" s="77" t="s">
        <v>428</v>
      </c>
      <c r="E83" s="67" t="s">
        <v>429</v>
      </c>
      <c r="F83" s="61" t="s">
        <v>26</v>
      </c>
      <c r="G83" s="12" t="s">
        <v>27</v>
      </c>
      <c r="H83" s="10" t="s">
        <v>28</v>
      </c>
      <c r="I83" s="13">
        <v>9002079067</v>
      </c>
      <c r="J83" s="13">
        <v>9002079067</v>
      </c>
      <c r="K83" s="10" t="s">
        <v>29</v>
      </c>
      <c r="L83" s="33" t="s">
        <v>62</v>
      </c>
      <c r="M83" s="15">
        <v>32786</v>
      </c>
      <c r="N83" s="15">
        <v>54727</v>
      </c>
      <c r="O83" s="15">
        <v>45199</v>
      </c>
      <c r="P83" s="15">
        <v>45131</v>
      </c>
      <c r="Q83" s="15">
        <v>45127</v>
      </c>
      <c r="R83" s="59"/>
      <c r="S83" s="32" t="s">
        <v>430</v>
      </c>
      <c r="T83" s="59"/>
      <c r="U83" s="59"/>
      <c r="V83" s="59">
        <f>LEN(TEXT(D83,0))</f>
        <v>11</v>
      </c>
      <c r="W83" s="23">
        <f t="shared" ca="1" si="14"/>
        <v>36</v>
      </c>
    </row>
    <row r="84" spans="1:23" ht="45">
      <c r="A84" s="8">
        <v>89</v>
      </c>
      <c r="B84" s="9" t="s">
        <v>431</v>
      </c>
      <c r="C84" s="76" t="s">
        <v>23</v>
      </c>
      <c r="D84" s="57" t="s">
        <v>432</v>
      </c>
      <c r="E84" s="12" t="s">
        <v>433</v>
      </c>
      <c r="F84" s="25" t="s">
        <v>26</v>
      </c>
      <c r="G84" s="12" t="s">
        <v>27</v>
      </c>
      <c r="H84" s="10" t="s">
        <v>28</v>
      </c>
      <c r="I84" s="10">
        <v>9002071764</v>
      </c>
      <c r="J84" s="13">
        <v>9002071764</v>
      </c>
      <c r="K84" s="10" t="s">
        <v>29</v>
      </c>
      <c r="L84" s="78" t="s">
        <v>90</v>
      </c>
      <c r="M84" s="15">
        <v>26679</v>
      </c>
      <c r="N84" s="15">
        <v>48610</v>
      </c>
      <c r="O84" s="15">
        <v>45308</v>
      </c>
      <c r="P84" s="15">
        <v>45131</v>
      </c>
      <c r="Q84" s="79">
        <v>45127</v>
      </c>
      <c r="R84" s="72"/>
      <c r="S84" s="43" t="s">
        <v>434</v>
      </c>
      <c r="T84" s="43" t="s">
        <v>435</v>
      </c>
      <c r="U84" s="43" t="s">
        <v>436</v>
      </c>
      <c r="V84" s="60">
        <f t="shared" ref="V84:V85" si="16">LEN(D84)</f>
        <v>11</v>
      </c>
      <c r="W84" s="60"/>
    </row>
    <row r="85" spans="1:23" ht="45.75">
      <c r="A85" s="8">
        <v>90</v>
      </c>
      <c r="B85" s="80" t="s">
        <v>437</v>
      </c>
      <c r="C85" s="76" t="s">
        <v>23</v>
      </c>
      <c r="D85" s="81" t="s">
        <v>438</v>
      </c>
      <c r="E85" s="82" t="s">
        <v>439</v>
      </c>
      <c r="F85" s="61" t="s">
        <v>26</v>
      </c>
      <c r="G85" s="83" t="s">
        <v>47</v>
      </c>
      <c r="H85" s="10" t="s">
        <v>28</v>
      </c>
      <c r="I85" s="12">
        <v>6202243771</v>
      </c>
      <c r="J85" s="12"/>
      <c r="K85" s="10" t="s">
        <v>29</v>
      </c>
      <c r="L85" s="14" t="s">
        <v>30</v>
      </c>
      <c r="M85" s="17">
        <v>32493</v>
      </c>
      <c r="N85" s="17">
        <v>54423</v>
      </c>
      <c r="O85" s="17">
        <v>45908</v>
      </c>
      <c r="P85" s="15">
        <v>45337</v>
      </c>
      <c r="Q85" s="15">
        <v>45258</v>
      </c>
      <c r="R85" s="37"/>
      <c r="S85" s="21" t="s">
        <v>440</v>
      </c>
      <c r="T85" s="21" t="s">
        <v>441</v>
      </c>
      <c r="U85" s="84"/>
      <c r="V85" s="84">
        <f t="shared" si="16"/>
        <v>11</v>
      </c>
      <c r="W85" s="23">
        <f t="shared" ref="W85:W86" ca="1" si="17">INT((TODAY()-M85)/365)</f>
        <v>37</v>
      </c>
    </row>
    <row r="86" spans="1:23" ht="30">
      <c r="A86" s="8">
        <v>91</v>
      </c>
      <c r="B86" s="85" t="s">
        <v>442</v>
      </c>
      <c r="C86" s="76" t="s">
        <v>23</v>
      </c>
      <c r="D86" s="77" t="s">
        <v>443</v>
      </c>
      <c r="E86" s="47" t="s">
        <v>444</v>
      </c>
      <c r="F86" s="61" t="s">
        <v>26</v>
      </c>
      <c r="G86" s="12" t="s">
        <v>27</v>
      </c>
      <c r="H86" s="10" t="s">
        <v>28</v>
      </c>
      <c r="I86" s="10">
        <v>9733940998</v>
      </c>
      <c r="J86" s="10"/>
      <c r="K86" s="10" t="s">
        <v>29</v>
      </c>
      <c r="L86" s="33" t="s">
        <v>62</v>
      </c>
      <c r="M86" s="15">
        <v>30469</v>
      </c>
      <c r="N86" s="15">
        <v>52290</v>
      </c>
      <c r="O86" s="15">
        <v>46074</v>
      </c>
      <c r="P86" s="15">
        <v>45305</v>
      </c>
      <c r="Q86" s="15">
        <v>45258</v>
      </c>
      <c r="R86" s="19"/>
      <c r="S86" s="20"/>
      <c r="T86" s="21" t="s">
        <v>445</v>
      </c>
      <c r="U86" s="20"/>
      <c r="V86" s="20">
        <f>LEN(TEXT(D86,0))</f>
        <v>11</v>
      </c>
      <c r="W86" s="23">
        <f t="shared" ca="1" si="17"/>
        <v>42</v>
      </c>
    </row>
    <row r="87" spans="1:23" ht="45">
      <c r="A87" s="8">
        <v>92</v>
      </c>
      <c r="B87" s="9" t="s">
        <v>446</v>
      </c>
      <c r="C87" s="76" t="s">
        <v>23</v>
      </c>
      <c r="D87" s="11" t="s">
        <v>447</v>
      </c>
      <c r="E87" s="12" t="s">
        <v>448</v>
      </c>
      <c r="F87" s="25" t="s">
        <v>26</v>
      </c>
      <c r="G87" s="12" t="s">
        <v>27</v>
      </c>
      <c r="H87" s="10" t="s">
        <v>28</v>
      </c>
      <c r="I87" s="10">
        <v>7001475155</v>
      </c>
      <c r="J87" s="13">
        <v>9734219295</v>
      </c>
      <c r="K87" s="10" t="s">
        <v>29</v>
      </c>
      <c r="L87" s="86" t="s">
        <v>79</v>
      </c>
      <c r="M87" s="15">
        <v>32559</v>
      </c>
      <c r="N87" s="15">
        <v>54482</v>
      </c>
      <c r="O87" s="15">
        <v>46082</v>
      </c>
      <c r="P87" s="15">
        <v>45337</v>
      </c>
      <c r="Q87" s="87">
        <v>45284</v>
      </c>
      <c r="R87" s="88" t="s">
        <v>449</v>
      </c>
      <c r="S87" s="43" t="s">
        <v>376</v>
      </c>
      <c r="T87" s="43" t="s">
        <v>450</v>
      </c>
      <c r="U87" s="72"/>
      <c r="V87" s="60">
        <f>LEN(D87)</f>
        <v>11</v>
      </c>
      <c r="W87" s="60"/>
    </row>
    <row r="88" spans="1:23" ht="45">
      <c r="A88" s="8">
        <v>93</v>
      </c>
      <c r="B88" s="9" t="s">
        <v>451</v>
      </c>
      <c r="C88" s="76" t="s">
        <v>23</v>
      </c>
      <c r="D88" s="89" t="s">
        <v>452</v>
      </c>
      <c r="E88" s="90" t="s">
        <v>453</v>
      </c>
      <c r="F88" s="10" t="s">
        <v>26</v>
      </c>
      <c r="G88" s="10" t="s">
        <v>89</v>
      </c>
      <c r="H88" s="10" t="s">
        <v>28</v>
      </c>
      <c r="I88" s="10">
        <v>7044121986</v>
      </c>
      <c r="J88" s="13">
        <v>7044121986</v>
      </c>
      <c r="K88" s="10" t="s">
        <v>29</v>
      </c>
      <c r="L88" s="10" t="s">
        <v>41</v>
      </c>
      <c r="M88" s="15">
        <v>28941</v>
      </c>
      <c r="N88" s="15">
        <v>50860</v>
      </c>
      <c r="O88" s="15">
        <v>45567</v>
      </c>
      <c r="P88" s="15">
        <v>45305</v>
      </c>
      <c r="Q88" s="15">
        <v>45258</v>
      </c>
      <c r="R88" s="19"/>
      <c r="S88" s="21" t="s">
        <v>454</v>
      </c>
      <c r="T88" s="21" t="s">
        <v>455</v>
      </c>
      <c r="U88" s="21" t="s">
        <v>456</v>
      </c>
      <c r="V88" s="20">
        <f t="shared" ref="V88:V89" si="18">LEN(TEXT(D88,0))</f>
        <v>11</v>
      </c>
      <c r="W88" s="23">
        <f t="shared" ref="W88:W89" ca="1" si="19">INT((TODAY()-M88)/365)</f>
        <v>47</v>
      </c>
    </row>
    <row r="89" spans="1:23" ht="45">
      <c r="A89" s="8">
        <v>94</v>
      </c>
      <c r="B89" s="34" t="s">
        <v>457</v>
      </c>
      <c r="C89" s="13" t="s">
        <v>23</v>
      </c>
      <c r="D89" s="91" t="s">
        <v>458</v>
      </c>
      <c r="E89" s="92" t="s">
        <v>459</v>
      </c>
      <c r="F89" s="10" t="s">
        <v>26</v>
      </c>
      <c r="G89" s="13" t="s">
        <v>89</v>
      </c>
      <c r="H89" s="10" t="s">
        <v>28</v>
      </c>
      <c r="I89" s="13">
        <v>9831942490</v>
      </c>
      <c r="J89" s="25"/>
      <c r="K89" s="10" t="s">
        <v>29</v>
      </c>
      <c r="L89" s="10" t="s">
        <v>90</v>
      </c>
      <c r="M89" s="15">
        <v>29464</v>
      </c>
      <c r="N89" s="15">
        <v>51379</v>
      </c>
      <c r="O89" s="15">
        <v>45277</v>
      </c>
      <c r="P89" s="15">
        <v>45337</v>
      </c>
      <c r="Q89" s="18">
        <v>45316</v>
      </c>
      <c r="R89" s="59"/>
      <c r="S89" s="59"/>
      <c r="T89" s="32" t="s">
        <v>460</v>
      </c>
      <c r="U89" s="59"/>
      <c r="V89" s="59">
        <f t="shared" si="18"/>
        <v>11</v>
      </c>
      <c r="W89" s="23">
        <f t="shared" ca="1" si="19"/>
        <v>45</v>
      </c>
    </row>
    <row r="90" spans="1:23" ht="45.75">
      <c r="A90" s="8">
        <v>95</v>
      </c>
      <c r="B90" s="93" t="s">
        <v>461</v>
      </c>
      <c r="C90" s="12" t="s">
        <v>23</v>
      </c>
      <c r="D90" s="81" t="s">
        <v>462</v>
      </c>
      <c r="E90" s="94" t="s">
        <v>463</v>
      </c>
      <c r="F90" s="25" t="s">
        <v>375</v>
      </c>
      <c r="G90" s="83" t="s">
        <v>27</v>
      </c>
      <c r="H90" s="10" t="s">
        <v>28</v>
      </c>
      <c r="I90" s="95">
        <v>9874473522</v>
      </c>
      <c r="J90" s="95">
        <v>9874473522</v>
      </c>
      <c r="K90" s="10" t="s">
        <v>29</v>
      </c>
      <c r="L90" s="70" t="s">
        <v>79</v>
      </c>
      <c r="M90" s="17">
        <v>31534</v>
      </c>
      <c r="N90" s="17">
        <v>53478</v>
      </c>
      <c r="O90" s="17">
        <v>45977</v>
      </c>
      <c r="P90" s="15">
        <v>45397</v>
      </c>
      <c r="Q90" s="18">
        <v>45369</v>
      </c>
      <c r="R90" s="37"/>
      <c r="S90" s="21" t="s">
        <v>440</v>
      </c>
      <c r="T90" s="21" t="s">
        <v>464</v>
      </c>
      <c r="U90" s="84"/>
      <c r="V90" s="84">
        <f t="shared" ref="V90:V92" si="20">LEN(D90)</f>
        <v>11</v>
      </c>
      <c r="W90" s="66"/>
    </row>
    <row r="91" spans="1:23" ht="45.75">
      <c r="A91" s="8">
        <v>96</v>
      </c>
      <c r="B91" s="80" t="s">
        <v>465</v>
      </c>
      <c r="C91" s="12" t="s">
        <v>23</v>
      </c>
      <c r="D91" s="81" t="s">
        <v>466</v>
      </c>
      <c r="E91" s="82" t="s">
        <v>467</v>
      </c>
      <c r="F91" s="96" t="s">
        <v>375</v>
      </c>
      <c r="G91" s="83" t="s">
        <v>27</v>
      </c>
      <c r="H91" s="10" t="s">
        <v>28</v>
      </c>
      <c r="I91" s="12">
        <v>9831694708</v>
      </c>
      <c r="J91" s="12">
        <v>9831694708</v>
      </c>
      <c r="K91" s="10" t="s">
        <v>29</v>
      </c>
      <c r="L91" s="12" t="s">
        <v>198</v>
      </c>
      <c r="M91" s="17">
        <v>33444</v>
      </c>
      <c r="N91" s="17">
        <v>55365</v>
      </c>
      <c r="O91" s="17">
        <v>46089</v>
      </c>
      <c r="P91" s="17">
        <v>45499</v>
      </c>
      <c r="Q91" s="18">
        <v>45412</v>
      </c>
      <c r="R91" s="37"/>
      <c r="S91" s="21" t="s">
        <v>468</v>
      </c>
      <c r="T91" s="21" t="s">
        <v>469</v>
      </c>
      <c r="U91" s="37"/>
      <c r="V91" s="84">
        <f t="shared" si="20"/>
        <v>11</v>
      </c>
      <c r="W91" s="23">
        <f ca="1">INT((TODAY()-M91)/365)</f>
        <v>34</v>
      </c>
    </row>
    <row r="92" spans="1:23" ht="60">
      <c r="A92" s="8">
        <v>97</v>
      </c>
      <c r="B92" s="9" t="s">
        <v>470</v>
      </c>
      <c r="C92" s="12" t="s">
        <v>23</v>
      </c>
      <c r="D92" s="11" t="s">
        <v>471</v>
      </c>
      <c r="E92" s="12" t="s">
        <v>472</v>
      </c>
      <c r="F92" s="10" t="s">
        <v>26</v>
      </c>
      <c r="G92" s="12" t="s">
        <v>27</v>
      </c>
      <c r="H92" s="10" t="s">
        <v>28</v>
      </c>
      <c r="I92" s="10">
        <v>8820237983</v>
      </c>
      <c r="J92" s="13">
        <v>8820237983</v>
      </c>
      <c r="K92" s="10" t="s">
        <v>29</v>
      </c>
      <c r="L92" s="10" t="s">
        <v>62</v>
      </c>
      <c r="M92" s="15">
        <v>30114</v>
      </c>
      <c r="N92" s="15">
        <v>52047</v>
      </c>
      <c r="O92" s="15">
        <v>46007</v>
      </c>
      <c r="P92" s="65">
        <v>45499</v>
      </c>
      <c r="Q92" s="97">
        <v>45385</v>
      </c>
      <c r="R92" s="72"/>
      <c r="S92" s="72"/>
      <c r="T92" s="43" t="s">
        <v>473</v>
      </c>
      <c r="U92" s="43" t="s">
        <v>474</v>
      </c>
      <c r="V92" s="72">
        <f t="shared" si="20"/>
        <v>11</v>
      </c>
      <c r="W92" s="60"/>
    </row>
    <row r="93" spans="1:23" ht="45">
      <c r="A93" s="8">
        <v>98</v>
      </c>
      <c r="B93" s="9" t="s">
        <v>475</v>
      </c>
      <c r="C93" s="10" t="s">
        <v>23</v>
      </c>
      <c r="D93" s="77" t="s">
        <v>476</v>
      </c>
      <c r="E93" s="98" t="s">
        <v>477</v>
      </c>
      <c r="F93" s="10" t="s">
        <v>26</v>
      </c>
      <c r="G93" s="13" t="s">
        <v>27</v>
      </c>
      <c r="H93" s="10" t="s">
        <v>28</v>
      </c>
      <c r="I93" s="10">
        <v>7003053290</v>
      </c>
      <c r="J93" s="10">
        <v>7003053290</v>
      </c>
      <c r="K93" s="10" t="s">
        <v>29</v>
      </c>
      <c r="L93" s="10" t="s">
        <v>478</v>
      </c>
      <c r="M93" s="15">
        <v>32526</v>
      </c>
      <c r="N93" s="15">
        <v>54454</v>
      </c>
      <c r="O93" s="15">
        <v>46091</v>
      </c>
      <c r="P93" s="15">
        <v>45375</v>
      </c>
      <c r="Q93" s="18">
        <v>45316</v>
      </c>
      <c r="R93" s="19"/>
      <c r="S93" s="20"/>
      <c r="T93" s="21" t="s">
        <v>479</v>
      </c>
      <c r="U93" s="21" t="s">
        <v>480</v>
      </c>
      <c r="V93" s="20">
        <f>LEN(TEXT(D93,0))</f>
        <v>11</v>
      </c>
      <c r="W93" s="23">
        <f t="shared" ref="W93:W95" ca="1" si="21">INT((TODAY()-M93)/365)</f>
        <v>37</v>
      </c>
    </row>
    <row r="94" spans="1:23" ht="45.75">
      <c r="A94" s="8">
        <v>99</v>
      </c>
      <c r="B94" s="99" t="s">
        <v>481</v>
      </c>
      <c r="C94" s="12" t="s">
        <v>23</v>
      </c>
      <c r="D94" s="100" t="s">
        <v>482</v>
      </c>
      <c r="E94" s="94" t="s">
        <v>483</v>
      </c>
      <c r="F94" s="10" t="s">
        <v>26</v>
      </c>
      <c r="G94" s="83" t="s">
        <v>89</v>
      </c>
      <c r="H94" s="10" t="s">
        <v>28</v>
      </c>
      <c r="I94" s="12">
        <v>8910402876</v>
      </c>
      <c r="J94" s="95">
        <v>8910402876</v>
      </c>
      <c r="K94" s="10" t="s">
        <v>29</v>
      </c>
      <c r="L94" s="12" t="s">
        <v>198</v>
      </c>
      <c r="M94" s="17">
        <v>29221</v>
      </c>
      <c r="N94" s="17">
        <v>51166</v>
      </c>
      <c r="O94" s="17">
        <v>45658</v>
      </c>
      <c r="P94" s="17">
        <v>45074</v>
      </c>
      <c r="Q94" s="18">
        <v>45232</v>
      </c>
      <c r="R94" s="84"/>
      <c r="S94" s="84"/>
      <c r="T94" s="21" t="s">
        <v>484</v>
      </c>
      <c r="U94" s="21" t="s">
        <v>485</v>
      </c>
      <c r="V94" s="84">
        <f>LEN(D94)</f>
        <v>11</v>
      </c>
      <c r="W94" s="23">
        <f t="shared" ca="1" si="21"/>
        <v>46</v>
      </c>
    </row>
    <row r="95" spans="1:23" ht="45">
      <c r="A95" s="8">
        <v>100</v>
      </c>
      <c r="B95" s="34" t="s">
        <v>486</v>
      </c>
      <c r="C95" s="10" t="s">
        <v>23</v>
      </c>
      <c r="D95" s="91" t="s">
        <v>487</v>
      </c>
      <c r="E95" s="47" t="s">
        <v>488</v>
      </c>
      <c r="F95" s="25" t="s">
        <v>26</v>
      </c>
      <c r="G95" s="12" t="s">
        <v>27</v>
      </c>
      <c r="H95" s="13" t="s">
        <v>28</v>
      </c>
      <c r="I95" s="13">
        <v>9002071229</v>
      </c>
      <c r="J95" s="13">
        <v>9002071229</v>
      </c>
      <c r="K95" s="10" t="s">
        <v>29</v>
      </c>
      <c r="L95" s="70" t="s">
        <v>79</v>
      </c>
      <c r="M95" s="15">
        <v>28276</v>
      </c>
      <c r="N95" s="15">
        <v>50191</v>
      </c>
      <c r="O95" s="15">
        <v>45437</v>
      </c>
      <c r="P95" s="15">
        <v>45397</v>
      </c>
      <c r="Q95" s="18">
        <v>45369</v>
      </c>
      <c r="R95" s="101"/>
      <c r="S95" s="102" t="s">
        <v>489</v>
      </c>
      <c r="T95" s="43" t="s">
        <v>490</v>
      </c>
      <c r="U95" s="102" t="s">
        <v>491</v>
      </c>
      <c r="V95" s="103">
        <f>LEN(TEXT(D95,0))</f>
        <v>11</v>
      </c>
      <c r="W95" s="23">
        <f t="shared" ca="1" si="21"/>
        <v>48</v>
      </c>
    </row>
    <row r="96" spans="1:23" ht="30">
      <c r="A96" s="8">
        <v>101</v>
      </c>
      <c r="B96" s="104" t="s">
        <v>492</v>
      </c>
      <c r="C96" s="105" t="s">
        <v>23</v>
      </c>
      <c r="D96" s="106" t="s">
        <v>493</v>
      </c>
      <c r="E96" s="31" t="s">
        <v>494</v>
      </c>
      <c r="F96" s="25" t="s">
        <v>26</v>
      </c>
      <c r="G96" s="12" t="s">
        <v>27</v>
      </c>
      <c r="H96" s="10" t="s">
        <v>28</v>
      </c>
      <c r="I96" s="105">
        <v>7584053371</v>
      </c>
      <c r="J96" s="54"/>
      <c r="K96" s="10" t="s">
        <v>29</v>
      </c>
      <c r="L96" s="12" t="s">
        <v>62</v>
      </c>
      <c r="M96" s="15">
        <v>32564</v>
      </c>
      <c r="N96" s="15">
        <v>54482</v>
      </c>
      <c r="O96" s="15">
        <v>46090</v>
      </c>
      <c r="P96" s="15">
        <v>45375</v>
      </c>
      <c r="Q96" s="18">
        <v>45316</v>
      </c>
      <c r="R96" s="59"/>
      <c r="S96" s="21"/>
      <c r="T96" s="21" t="s">
        <v>495</v>
      </c>
      <c r="U96" s="37"/>
      <c r="V96" s="20">
        <f>LEN(D96)</f>
        <v>11</v>
      </c>
      <c r="W96" s="60"/>
    </row>
    <row r="97" spans="1:23" ht="30">
      <c r="A97" s="8">
        <v>102</v>
      </c>
      <c r="B97" s="9" t="s">
        <v>496</v>
      </c>
      <c r="C97" s="105" t="s">
        <v>23</v>
      </c>
      <c r="D97" s="57" t="s">
        <v>497</v>
      </c>
      <c r="E97" s="107" t="s">
        <v>498</v>
      </c>
      <c r="F97" s="61" t="s">
        <v>26</v>
      </c>
      <c r="G97" s="12" t="s">
        <v>27</v>
      </c>
      <c r="H97" s="10" t="s">
        <v>28</v>
      </c>
      <c r="I97" s="10">
        <v>8789205736</v>
      </c>
      <c r="J97" s="10"/>
      <c r="K97" s="10" t="s">
        <v>29</v>
      </c>
      <c r="L97" s="33" t="s">
        <v>62</v>
      </c>
      <c r="M97" s="15">
        <v>31749</v>
      </c>
      <c r="N97" s="15">
        <v>53692</v>
      </c>
      <c r="O97" s="15">
        <v>46146</v>
      </c>
      <c r="P97" s="17">
        <v>45499</v>
      </c>
      <c r="Q97" s="97">
        <v>45356</v>
      </c>
      <c r="R97" s="20"/>
      <c r="S97" s="20"/>
      <c r="T97" s="21" t="s">
        <v>499</v>
      </c>
      <c r="U97" s="20"/>
      <c r="V97" s="20">
        <f>LEN(TEXT(D97,0))</f>
        <v>11</v>
      </c>
      <c r="W97" s="108">
        <f ca="1">INT((TODAY()-M97)/365)</f>
        <v>39</v>
      </c>
    </row>
    <row r="98" spans="1:23" ht="30">
      <c r="A98" s="8">
        <v>103</v>
      </c>
      <c r="B98" s="9" t="s">
        <v>500</v>
      </c>
      <c r="C98" s="76" t="s">
        <v>23</v>
      </c>
      <c r="D98" s="11" t="s">
        <v>501</v>
      </c>
      <c r="E98" s="12" t="s">
        <v>502</v>
      </c>
      <c r="F98" s="25" t="s">
        <v>26</v>
      </c>
      <c r="G98" s="10" t="s">
        <v>27</v>
      </c>
      <c r="H98" s="10" t="s">
        <v>28</v>
      </c>
      <c r="I98" s="10">
        <v>9002071296</v>
      </c>
      <c r="J98" s="109"/>
      <c r="K98" s="10" t="s">
        <v>29</v>
      </c>
      <c r="L98" s="10" t="s">
        <v>115</v>
      </c>
      <c r="M98" s="15">
        <v>30379</v>
      </c>
      <c r="N98" s="15">
        <v>52321</v>
      </c>
      <c r="O98" s="15">
        <v>45930</v>
      </c>
      <c r="P98" s="15">
        <v>45776</v>
      </c>
      <c r="Q98" s="15">
        <v>45766</v>
      </c>
      <c r="R98" s="72"/>
      <c r="S98" s="72"/>
      <c r="T98" s="43" t="s">
        <v>503</v>
      </c>
      <c r="U98" s="43" t="s">
        <v>504</v>
      </c>
      <c r="V98" s="60">
        <f t="shared" ref="V98:V103" si="22">LEN(D98)</f>
        <v>11</v>
      </c>
      <c r="W98" s="60"/>
    </row>
    <row r="99" spans="1:23" ht="45.75">
      <c r="A99" s="8">
        <v>104</v>
      </c>
      <c r="B99" s="80" t="s">
        <v>505</v>
      </c>
      <c r="C99" s="76" t="s">
        <v>23</v>
      </c>
      <c r="D99" s="81" t="s">
        <v>506</v>
      </c>
      <c r="E99" s="82" t="s">
        <v>507</v>
      </c>
      <c r="F99" s="10" t="s">
        <v>26</v>
      </c>
      <c r="G99" s="83" t="s">
        <v>89</v>
      </c>
      <c r="H99" s="10" t="s">
        <v>28</v>
      </c>
      <c r="I99" s="12">
        <v>8240579219</v>
      </c>
      <c r="J99" s="95">
        <v>8017544078</v>
      </c>
      <c r="K99" s="10" t="s">
        <v>29</v>
      </c>
      <c r="L99" s="70" t="s">
        <v>249</v>
      </c>
      <c r="M99" s="17">
        <v>29769</v>
      </c>
      <c r="N99" s="17">
        <v>51713</v>
      </c>
      <c r="O99" s="17">
        <v>46152</v>
      </c>
      <c r="P99" s="17">
        <v>45499</v>
      </c>
      <c r="Q99" s="97">
        <v>45385</v>
      </c>
      <c r="R99" s="84"/>
      <c r="S99" s="84"/>
      <c r="T99" s="21" t="s">
        <v>508</v>
      </c>
      <c r="U99" s="21" t="s">
        <v>509</v>
      </c>
      <c r="V99" s="84">
        <f t="shared" si="22"/>
        <v>11</v>
      </c>
      <c r="W99" s="23">
        <f t="shared" ref="W99:W101" ca="1" si="23">INT((TODAY()-M99)/365)</f>
        <v>44</v>
      </c>
    </row>
    <row r="100" spans="1:23" ht="30">
      <c r="A100" s="8">
        <v>105</v>
      </c>
      <c r="B100" s="9" t="s">
        <v>510</v>
      </c>
      <c r="C100" s="12" t="s">
        <v>23</v>
      </c>
      <c r="D100" s="11" t="s">
        <v>511</v>
      </c>
      <c r="E100" s="67" t="s">
        <v>512</v>
      </c>
      <c r="F100" s="61" t="s">
        <v>26</v>
      </c>
      <c r="G100" s="10" t="s">
        <v>89</v>
      </c>
      <c r="H100" s="10" t="s">
        <v>28</v>
      </c>
      <c r="I100" s="10">
        <v>8116652177</v>
      </c>
      <c r="J100" s="10"/>
      <c r="K100" s="10" t="s">
        <v>29</v>
      </c>
      <c r="L100" s="70" t="s">
        <v>249</v>
      </c>
      <c r="M100" s="15">
        <v>31080</v>
      </c>
      <c r="N100" s="15">
        <v>53021</v>
      </c>
      <c r="O100" s="15">
        <v>46147</v>
      </c>
      <c r="P100" s="17">
        <v>45499</v>
      </c>
      <c r="Q100" s="97">
        <v>45356</v>
      </c>
      <c r="R100" s="20"/>
      <c r="S100" s="20"/>
      <c r="T100" s="21" t="s">
        <v>513</v>
      </c>
      <c r="U100" s="20"/>
      <c r="V100" s="20">
        <f t="shared" si="22"/>
        <v>11</v>
      </c>
      <c r="W100" s="23">
        <f t="shared" ca="1" si="23"/>
        <v>41</v>
      </c>
    </row>
    <row r="101" spans="1:23" ht="30.75">
      <c r="A101" s="8">
        <v>106</v>
      </c>
      <c r="B101" s="99" t="s">
        <v>514</v>
      </c>
      <c r="C101" s="12" t="s">
        <v>23</v>
      </c>
      <c r="D101" s="81" t="s">
        <v>515</v>
      </c>
      <c r="E101" s="82" t="s">
        <v>516</v>
      </c>
      <c r="F101" s="61" t="s">
        <v>26</v>
      </c>
      <c r="G101" s="83" t="s">
        <v>89</v>
      </c>
      <c r="H101" s="10" t="s">
        <v>28</v>
      </c>
      <c r="I101" s="12">
        <v>8443059505</v>
      </c>
      <c r="J101" s="95">
        <v>7003140567</v>
      </c>
      <c r="K101" s="10" t="s">
        <v>29</v>
      </c>
      <c r="L101" s="14" t="s">
        <v>30</v>
      </c>
      <c r="M101" s="17">
        <v>30310</v>
      </c>
      <c r="N101" s="17">
        <v>52231</v>
      </c>
      <c r="O101" s="17">
        <v>46155</v>
      </c>
      <c r="P101" s="17">
        <v>45499</v>
      </c>
      <c r="Q101" s="97">
        <v>45385</v>
      </c>
      <c r="R101" s="110"/>
      <c r="S101" s="110"/>
      <c r="T101" s="43" t="s">
        <v>517</v>
      </c>
      <c r="U101" s="110"/>
      <c r="V101" s="110">
        <f t="shared" si="22"/>
        <v>11</v>
      </c>
      <c r="W101" s="23">
        <f t="shared" ca="1" si="23"/>
        <v>43</v>
      </c>
    </row>
    <row r="102" spans="1:23" ht="30">
      <c r="A102" s="8">
        <v>107</v>
      </c>
      <c r="B102" s="9" t="s">
        <v>518</v>
      </c>
      <c r="C102" s="10" t="s">
        <v>23</v>
      </c>
      <c r="D102" s="57" t="s">
        <v>519</v>
      </c>
      <c r="E102" s="47" t="s">
        <v>520</v>
      </c>
      <c r="F102" s="25" t="s">
        <v>26</v>
      </c>
      <c r="G102" s="12" t="s">
        <v>27</v>
      </c>
      <c r="H102" s="10" t="s">
        <v>28</v>
      </c>
      <c r="I102" s="10">
        <v>9002071348</v>
      </c>
      <c r="J102" s="10"/>
      <c r="K102" s="10" t="s">
        <v>29</v>
      </c>
      <c r="L102" s="10" t="s">
        <v>62</v>
      </c>
      <c r="M102" s="15">
        <v>31559</v>
      </c>
      <c r="N102" s="15">
        <v>53478</v>
      </c>
      <c r="O102" s="15">
        <v>45900</v>
      </c>
      <c r="P102" s="15">
        <v>45531</v>
      </c>
      <c r="Q102" s="18">
        <v>45506</v>
      </c>
      <c r="R102" s="72"/>
      <c r="S102" s="43" t="s">
        <v>521</v>
      </c>
      <c r="T102" s="43" t="s">
        <v>522</v>
      </c>
      <c r="U102" s="72"/>
      <c r="V102" s="60">
        <f t="shared" si="22"/>
        <v>11</v>
      </c>
      <c r="W102" s="60"/>
    </row>
    <row r="103" spans="1:23" ht="30.75">
      <c r="A103" s="8">
        <v>108</v>
      </c>
      <c r="B103" s="99" t="s">
        <v>523</v>
      </c>
      <c r="C103" s="10" t="s">
        <v>23</v>
      </c>
      <c r="D103" s="81" t="s">
        <v>524</v>
      </c>
      <c r="E103" s="82" t="s">
        <v>525</v>
      </c>
      <c r="F103" s="10" t="s">
        <v>26</v>
      </c>
      <c r="G103" s="83" t="s">
        <v>27</v>
      </c>
      <c r="H103" s="10" t="s">
        <v>28</v>
      </c>
      <c r="I103" s="12">
        <v>9064512724</v>
      </c>
      <c r="J103" s="12"/>
      <c r="K103" s="10" t="s">
        <v>29</v>
      </c>
      <c r="L103" s="10" t="s">
        <v>30</v>
      </c>
      <c r="M103" s="17">
        <v>30808</v>
      </c>
      <c r="N103" s="17">
        <v>52748</v>
      </c>
      <c r="O103" s="17">
        <v>46151</v>
      </c>
      <c r="P103" s="17">
        <v>45499</v>
      </c>
      <c r="Q103" s="97">
        <v>45385</v>
      </c>
      <c r="R103" s="84"/>
      <c r="S103" s="21" t="s">
        <v>526</v>
      </c>
      <c r="T103" s="21" t="s">
        <v>527</v>
      </c>
      <c r="U103" s="84"/>
      <c r="V103" s="84">
        <f t="shared" si="22"/>
        <v>11</v>
      </c>
      <c r="W103" s="23">
        <f t="shared" ref="W103:W106" ca="1" si="24">INT((TODAY()-M103)/365)</f>
        <v>41</v>
      </c>
    </row>
    <row r="104" spans="1:23" ht="30">
      <c r="A104" s="8">
        <v>109</v>
      </c>
      <c r="B104" s="9" t="s">
        <v>528</v>
      </c>
      <c r="C104" s="10" t="s">
        <v>23</v>
      </c>
      <c r="D104" s="77" t="s">
        <v>529</v>
      </c>
      <c r="E104" s="92" t="s">
        <v>530</v>
      </c>
      <c r="F104" s="10" t="s">
        <v>26</v>
      </c>
      <c r="G104" s="13" t="s">
        <v>27</v>
      </c>
      <c r="H104" s="13" t="s">
        <v>28</v>
      </c>
      <c r="I104" s="10">
        <v>8697217027</v>
      </c>
      <c r="J104" s="109"/>
      <c r="K104" s="10" t="s">
        <v>29</v>
      </c>
      <c r="L104" s="10" t="s">
        <v>62</v>
      </c>
      <c r="M104" s="15">
        <v>31057</v>
      </c>
      <c r="N104" s="15">
        <v>52993</v>
      </c>
      <c r="O104" s="15">
        <v>46153</v>
      </c>
      <c r="P104" s="15">
        <v>45628</v>
      </c>
      <c r="Q104" s="15">
        <v>45493</v>
      </c>
      <c r="R104" s="27"/>
      <c r="S104" s="72"/>
      <c r="T104" s="43" t="s">
        <v>531</v>
      </c>
      <c r="U104" s="72" t="s">
        <v>532</v>
      </c>
      <c r="V104" s="60">
        <f t="shared" ref="V104:V106" si="25">LEN(TEXT(D104,0))</f>
        <v>11</v>
      </c>
      <c r="W104" s="23">
        <f t="shared" ca="1" si="24"/>
        <v>41</v>
      </c>
    </row>
    <row r="105" spans="1:23" ht="45">
      <c r="A105" s="8">
        <v>110</v>
      </c>
      <c r="B105" s="34" t="s">
        <v>533</v>
      </c>
      <c r="C105" s="10" t="s">
        <v>23</v>
      </c>
      <c r="D105" s="77" t="s">
        <v>534</v>
      </c>
      <c r="E105" s="47" t="s">
        <v>535</v>
      </c>
      <c r="F105" s="10" t="s">
        <v>26</v>
      </c>
      <c r="G105" s="12" t="s">
        <v>27</v>
      </c>
      <c r="H105" s="13" t="s">
        <v>28</v>
      </c>
      <c r="I105" s="13">
        <v>9831646058</v>
      </c>
      <c r="J105" s="13">
        <v>9088707648</v>
      </c>
      <c r="K105" s="10" t="s">
        <v>29</v>
      </c>
      <c r="L105" s="10" t="s">
        <v>90</v>
      </c>
      <c r="M105" s="15">
        <v>32608</v>
      </c>
      <c r="N105" s="15">
        <v>54543</v>
      </c>
      <c r="O105" s="15">
        <v>46148</v>
      </c>
      <c r="P105" s="15">
        <v>45628</v>
      </c>
      <c r="Q105" s="15">
        <v>45387</v>
      </c>
      <c r="R105" s="59"/>
      <c r="S105" s="59"/>
      <c r="T105" s="32" t="s">
        <v>536</v>
      </c>
      <c r="U105" s="32" t="s">
        <v>537</v>
      </c>
      <c r="V105" s="111">
        <f t="shared" si="25"/>
        <v>11</v>
      </c>
      <c r="W105" s="23">
        <f t="shared" ca="1" si="24"/>
        <v>36</v>
      </c>
    </row>
    <row r="106" spans="1:23" ht="30">
      <c r="A106" s="8">
        <v>111</v>
      </c>
      <c r="B106" s="9" t="s">
        <v>538</v>
      </c>
      <c r="C106" s="10" t="s">
        <v>23</v>
      </c>
      <c r="D106" s="11" t="s">
        <v>539</v>
      </c>
      <c r="E106" s="47" t="s">
        <v>540</v>
      </c>
      <c r="F106" s="13" t="s">
        <v>26</v>
      </c>
      <c r="G106" s="10" t="s">
        <v>89</v>
      </c>
      <c r="H106" s="13" t="s">
        <v>28</v>
      </c>
      <c r="I106" s="10">
        <v>9804205045</v>
      </c>
      <c r="J106" s="109">
        <v>9804205045</v>
      </c>
      <c r="K106" s="10" t="s">
        <v>29</v>
      </c>
      <c r="L106" s="13" t="s">
        <v>115</v>
      </c>
      <c r="M106" s="15">
        <v>32420</v>
      </c>
      <c r="N106" s="15">
        <v>54362</v>
      </c>
      <c r="O106" s="15">
        <v>46194</v>
      </c>
      <c r="P106" s="15">
        <v>45522</v>
      </c>
      <c r="Q106" s="18">
        <v>45412</v>
      </c>
      <c r="R106" s="20"/>
      <c r="S106" s="20"/>
      <c r="T106" s="21" t="s">
        <v>541</v>
      </c>
      <c r="U106" s="21" t="s">
        <v>542</v>
      </c>
      <c r="V106" s="20">
        <f t="shared" si="25"/>
        <v>11</v>
      </c>
      <c r="W106" s="23">
        <f t="shared" ca="1" si="24"/>
        <v>37</v>
      </c>
    </row>
    <row r="107" spans="1:23" ht="30.75">
      <c r="A107" s="8">
        <v>113</v>
      </c>
      <c r="B107" s="80" t="s">
        <v>543</v>
      </c>
      <c r="C107" s="10" t="s">
        <v>23</v>
      </c>
      <c r="D107" s="81" t="s">
        <v>544</v>
      </c>
      <c r="E107" s="82" t="s">
        <v>545</v>
      </c>
      <c r="F107" s="112" t="s">
        <v>26</v>
      </c>
      <c r="G107" s="83" t="s">
        <v>89</v>
      </c>
      <c r="H107" s="12" t="s">
        <v>28</v>
      </c>
      <c r="I107" s="95">
        <v>7044289869</v>
      </c>
      <c r="J107" s="95">
        <v>7044289869</v>
      </c>
      <c r="K107" s="10" t="s">
        <v>29</v>
      </c>
      <c r="L107" s="12" t="s">
        <v>79</v>
      </c>
      <c r="M107" s="17">
        <v>32145</v>
      </c>
      <c r="N107" s="17">
        <v>54088</v>
      </c>
      <c r="O107" s="17">
        <v>46120</v>
      </c>
      <c r="P107" s="15">
        <v>45628</v>
      </c>
      <c r="Q107" s="18">
        <v>45524</v>
      </c>
      <c r="R107" s="84"/>
      <c r="S107" s="84"/>
      <c r="T107" s="21" t="s">
        <v>546</v>
      </c>
      <c r="U107" s="21" t="s">
        <v>547</v>
      </c>
      <c r="V107" s="84">
        <f>LEN(D107)</f>
        <v>11</v>
      </c>
      <c r="W107" s="66"/>
    </row>
    <row r="108" spans="1:23" ht="45">
      <c r="A108" s="8">
        <v>115</v>
      </c>
      <c r="B108" s="9" t="s">
        <v>548</v>
      </c>
      <c r="C108" s="10" t="s">
        <v>23</v>
      </c>
      <c r="D108" s="77" t="s">
        <v>549</v>
      </c>
      <c r="E108" s="47" t="s">
        <v>550</v>
      </c>
      <c r="F108" s="10" t="s">
        <v>26</v>
      </c>
      <c r="G108" s="10" t="s">
        <v>89</v>
      </c>
      <c r="H108" s="10" t="s">
        <v>28</v>
      </c>
      <c r="I108" s="10">
        <v>9002071878</v>
      </c>
      <c r="J108" s="13">
        <v>7044511910</v>
      </c>
      <c r="K108" s="10" t="s">
        <v>29</v>
      </c>
      <c r="L108" s="10" t="s">
        <v>90</v>
      </c>
      <c r="M108" s="15">
        <v>32550</v>
      </c>
      <c r="N108" s="15">
        <v>54482</v>
      </c>
      <c r="O108" s="15">
        <v>46173</v>
      </c>
      <c r="P108" s="15">
        <v>45541</v>
      </c>
      <c r="Q108" s="15">
        <v>45552</v>
      </c>
      <c r="R108" s="29" t="s">
        <v>551</v>
      </c>
      <c r="S108" s="28"/>
      <c r="T108" s="21" t="s">
        <v>552</v>
      </c>
      <c r="U108" s="21" t="s">
        <v>553</v>
      </c>
      <c r="V108" s="22">
        <f>LEN(TEXT(D108,0))</f>
        <v>11</v>
      </c>
      <c r="W108" s="108">
        <f t="shared" ref="W108:W109" ca="1" si="26">INT((TODAY()-M108)/365)</f>
        <v>37</v>
      </c>
    </row>
    <row r="109" spans="1:23" ht="45">
      <c r="A109" s="8">
        <v>116</v>
      </c>
      <c r="B109" s="9" t="s">
        <v>554</v>
      </c>
      <c r="C109" s="10" t="s">
        <v>23</v>
      </c>
      <c r="D109" s="11" t="s">
        <v>555</v>
      </c>
      <c r="E109" s="47" t="s">
        <v>556</v>
      </c>
      <c r="F109" s="61" t="s">
        <v>26</v>
      </c>
      <c r="G109" s="10" t="s">
        <v>89</v>
      </c>
      <c r="H109" s="10" t="s">
        <v>35</v>
      </c>
      <c r="I109" s="113">
        <v>9002071737</v>
      </c>
      <c r="J109" s="13">
        <v>9749023442</v>
      </c>
      <c r="K109" s="10" t="s">
        <v>29</v>
      </c>
      <c r="L109" s="86" t="s">
        <v>273</v>
      </c>
      <c r="M109" s="15">
        <v>31476</v>
      </c>
      <c r="N109" s="15">
        <v>53417</v>
      </c>
      <c r="O109" s="15">
        <v>46141</v>
      </c>
      <c r="P109" s="17">
        <v>45499</v>
      </c>
      <c r="Q109" s="97">
        <v>45385</v>
      </c>
      <c r="R109" s="72"/>
      <c r="S109" s="72"/>
      <c r="T109" s="43" t="s">
        <v>557</v>
      </c>
      <c r="U109" s="72"/>
      <c r="V109" s="72">
        <f t="shared" ref="V109:V110" si="27">LEN(D109)</f>
        <v>11</v>
      </c>
      <c r="W109" s="23">
        <f t="shared" ca="1" si="26"/>
        <v>40</v>
      </c>
    </row>
    <row r="110" spans="1:23" ht="45">
      <c r="A110" s="8">
        <v>117</v>
      </c>
      <c r="B110" s="9" t="s">
        <v>558</v>
      </c>
      <c r="C110" s="10" t="s">
        <v>23</v>
      </c>
      <c r="D110" s="11" t="s">
        <v>559</v>
      </c>
      <c r="E110" s="92" t="s">
        <v>560</v>
      </c>
      <c r="F110" s="25" t="s">
        <v>26</v>
      </c>
      <c r="G110" s="13" t="s">
        <v>89</v>
      </c>
      <c r="H110" s="10" t="s">
        <v>28</v>
      </c>
      <c r="I110" s="13">
        <v>9733967408</v>
      </c>
      <c r="J110" s="13">
        <v>9733967408</v>
      </c>
      <c r="K110" s="10" t="s">
        <v>29</v>
      </c>
      <c r="L110" s="14" t="s">
        <v>52</v>
      </c>
      <c r="M110" s="15">
        <v>29605</v>
      </c>
      <c r="N110" s="15">
        <v>51532</v>
      </c>
      <c r="O110" s="15">
        <v>46041</v>
      </c>
      <c r="P110" s="15">
        <v>45628</v>
      </c>
      <c r="Q110" s="97">
        <v>45385</v>
      </c>
      <c r="R110" s="59"/>
      <c r="S110" s="21" t="s">
        <v>561</v>
      </c>
      <c r="T110" s="21" t="s">
        <v>562</v>
      </c>
      <c r="U110" s="20"/>
      <c r="V110" s="22">
        <f t="shared" si="27"/>
        <v>11</v>
      </c>
      <c r="W110" s="22"/>
    </row>
    <row r="111" spans="1:23" ht="45">
      <c r="A111" s="8">
        <v>118</v>
      </c>
      <c r="B111" s="9" t="s">
        <v>563</v>
      </c>
      <c r="C111" s="10" t="s">
        <v>23</v>
      </c>
      <c r="D111" s="77" t="s">
        <v>564</v>
      </c>
      <c r="E111" s="90" t="s">
        <v>565</v>
      </c>
      <c r="F111" s="10" t="s">
        <v>26</v>
      </c>
      <c r="G111" s="10" t="s">
        <v>89</v>
      </c>
      <c r="H111" s="10" t="s">
        <v>28</v>
      </c>
      <c r="I111" s="13">
        <v>7980000950</v>
      </c>
      <c r="J111" s="109"/>
      <c r="K111" s="10" t="s">
        <v>29</v>
      </c>
      <c r="L111" s="10" t="s">
        <v>478</v>
      </c>
      <c r="M111" s="15">
        <v>28286</v>
      </c>
      <c r="N111" s="15">
        <v>50221</v>
      </c>
      <c r="O111" s="15">
        <v>45456</v>
      </c>
      <c r="P111" s="18">
        <v>45695</v>
      </c>
      <c r="Q111" s="15">
        <v>45552</v>
      </c>
      <c r="R111" s="19"/>
      <c r="S111" s="20"/>
      <c r="T111" s="21" t="s">
        <v>566</v>
      </c>
      <c r="U111" s="21" t="s">
        <v>567</v>
      </c>
      <c r="V111" s="22">
        <f>LEN(TEXT(D111,0))</f>
        <v>11</v>
      </c>
      <c r="W111" s="108">
        <f t="shared" ref="W111:W113" ca="1" si="28">INT((TODAY()-M111)/365)</f>
        <v>48</v>
      </c>
    </row>
    <row r="112" spans="1:23" ht="30.75">
      <c r="A112" s="8">
        <v>119</v>
      </c>
      <c r="B112" s="99" t="s">
        <v>568</v>
      </c>
      <c r="C112" s="10" t="s">
        <v>23</v>
      </c>
      <c r="D112" s="81" t="s">
        <v>569</v>
      </c>
      <c r="E112" s="82" t="s">
        <v>570</v>
      </c>
      <c r="F112" s="114" t="s">
        <v>26</v>
      </c>
      <c r="G112" s="83" t="s">
        <v>27</v>
      </c>
      <c r="H112" s="10" t="s">
        <v>28</v>
      </c>
      <c r="I112" s="115">
        <v>9002071156</v>
      </c>
      <c r="J112" s="12">
        <v>8001225645</v>
      </c>
      <c r="K112" s="10" t="s">
        <v>29</v>
      </c>
      <c r="L112" s="12" t="s">
        <v>571</v>
      </c>
      <c r="M112" s="17">
        <v>31190</v>
      </c>
      <c r="N112" s="17">
        <v>53113</v>
      </c>
      <c r="O112" s="17">
        <v>46172</v>
      </c>
      <c r="P112" s="17">
        <v>45598</v>
      </c>
      <c r="Q112" s="15">
        <v>45552</v>
      </c>
      <c r="R112" s="21" t="s">
        <v>572</v>
      </c>
      <c r="S112" s="84"/>
      <c r="T112" s="21" t="s">
        <v>573</v>
      </c>
      <c r="U112" s="21" t="s">
        <v>574</v>
      </c>
      <c r="V112" s="84">
        <f t="shared" ref="V112:V114" si="29">LEN(D112)</f>
        <v>11</v>
      </c>
      <c r="W112" s="23">
        <f t="shared" ca="1" si="28"/>
        <v>40</v>
      </c>
    </row>
    <row r="113" spans="1:23" ht="30.75">
      <c r="A113" s="8">
        <v>120</v>
      </c>
      <c r="B113" s="99" t="s">
        <v>575</v>
      </c>
      <c r="C113" s="10" t="s">
        <v>23</v>
      </c>
      <c r="D113" s="81" t="s">
        <v>576</v>
      </c>
      <c r="E113" s="82" t="s">
        <v>577</v>
      </c>
      <c r="F113" s="63" t="s">
        <v>26</v>
      </c>
      <c r="G113" s="83" t="s">
        <v>89</v>
      </c>
      <c r="H113" s="10" t="s">
        <v>28</v>
      </c>
      <c r="I113" s="116">
        <v>9002071151</v>
      </c>
      <c r="J113" s="12">
        <v>9007574828</v>
      </c>
      <c r="K113" s="10" t="s">
        <v>29</v>
      </c>
      <c r="L113" s="25" t="s">
        <v>90</v>
      </c>
      <c r="M113" s="17">
        <v>32541</v>
      </c>
      <c r="N113" s="17">
        <v>54482</v>
      </c>
      <c r="O113" s="17">
        <v>46173</v>
      </c>
      <c r="P113" s="17">
        <v>45598</v>
      </c>
      <c r="Q113" s="15">
        <v>45552</v>
      </c>
      <c r="R113" s="84"/>
      <c r="S113" s="84"/>
      <c r="T113" s="21" t="s">
        <v>578</v>
      </c>
      <c r="U113" s="21" t="s">
        <v>579</v>
      </c>
      <c r="V113" s="110">
        <f t="shared" si="29"/>
        <v>11</v>
      </c>
      <c r="W113" s="108">
        <f t="shared" ca="1" si="28"/>
        <v>37</v>
      </c>
    </row>
    <row r="114" spans="1:23" ht="45.75">
      <c r="A114" s="8">
        <v>121</v>
      </c>
      <c r="B114" s="99" t="s">
        <v>580</v>
      </c>
      <c r="C114" s="10" t="s">
        <v>23</v>
      </c>
      <c r="D114" s="81" t="s">
        <v>581</v>
      </c>
      <c r="E114" s="61" t="s">
        <v>582</v>
      </c>
      <c r="F114" s="117" t="s">
        <v>26</v>
      </c>
      <c r="G114" s="83" t="s">
        <v>27</v>
      </c>
      <c r="H114" s="10" t="s">
        <v>28</v>
      </c>
      <c r="I114" s="118">
        <v>9002071128</v>
      </c>
      <c r="J114" s="95">
        <v>8444918716</v>
      </c>
      <c r="K114" s="10" t="s">
        <v>29</v>
      </c>
      <c r="L114" s="12" t="s">
        <v>115</v>
      </c>
      <c r="M114" s="17">
        <v>31693</v>
      </c>
      <c r="N114" s="17">
        <v>53631</v>
      </c>
      <c r="O114" s="17">
        <v>46186</v>
      </c>
      <c r="P114" s="18">
        <v>45695</v>
      </c>
      <c r="Q114" s="18">
        <v>45675</v>
      </c>
      <c r="R114" s="84"/>
      <c r="S114" s="84"/>
      <c r="T114" s="21" t="s">
        <v>583</v>
      </c>
      <c r="U114" s="21" t="s">
        <v>584</v>
      </c>
      <c r="V114" s="84">
        <f t="shared" si="29"/>
        <v>11</v>
      </c>
      <c r="W114" s="25"/>
    </row>
    <row r="115" spans="1:23" ht="45">
      <c r="A115" s="8">
        <v>122</v>
      </c>
      <c r="B115" s="9" t="s">
        <v>585</v>
      </c>
      <c r="C115" s="10" t="s">
        <v>23</v>
      </c>
      <c r="D115" s="11" t="s">
        <v>586</v>
      </c>
      <c r="E115" s="25" t="s">
        <v>587</v>
      </c>
      <c r="F115" s="10" t="s">
        <v>26</v>
      </c>
      <c r="G115" s="12" t="s">
        <v>27</v>
      </c>
      <c r="H115" s="10" t="s">
        <v>35</v>
      </c>
      <c r="I115" s="10">
        <v>9002071356</v>
      </c>
      <c r="J115" s="10">
        <v>9002071356</v>
      </c>
      <c r="K115" s="10" t="s">
        <v>29</v>
      </c>
      <c r="L115" s="25" t="s">
        <v>588</v>
      </c>
      <c r="M115" s="15">
        <v>31052</v>
      </c>
      <c r="N115" s="15">
        <v>52993</v>
      </c>
      <c r="O115" s="15">
        <v>45840</v>
      </c>
      <c r="P115" s="17">
        <v>45662</v>
      </c>
      <c r="Q115" s="18">
        <v>45622</v>
      </c>
      <c r="R115" s="19"/>
      <c r="S115" s="20"/>
      <c r="T115" s="29" t="s">
        <v>589</v>
      </c>
      <c r="U115" s="21" t="s">
        <v>590</v>
      </c>
      <c r="V115" s="22">
        <f t="shared" ref="V115:V117" si="30">LEN(TEXT(D115,0))</f>
        <v>11</v>
      </c>
      <c r="W115" s="23">
        <f ca="1">INT((TODAY()-M115)/365)</f>
        <v>41</v>
      </c>
    </row>
    <row r="116" spans="1:23" ht="30">
      <c r="A116" s="8">
        <v>124</v>
      </c>
      <c r="B116" s="9" t="s">
        <v>591</v>
      </c>
      <c r="C116" s="10" t="s">
        <v>23</v>
      </c>
      <c r="D116" s="77" t="s">
        <v>592</v>
      </c>
      <c r="E116" s="96" t="s">
        <v>593</v>
      </c>
      <c r="F116" s="42" t="s">
        <v>26</v>
      </c>
      <c r="G116" s="13" t="s">
        <v>27</v>
      </c>
      <c r="H116" s="12" t="s">
        <v>28</v>
      </c>
      <c r="I116" s="116">
        <v>9002071159</v>
      </c>
      <c r="J116" s="109"/>
      <c r="K116" s="10" t="s">
        <v>29</v>
      </c>
      <c r="L116" s="14" t="s">
        <v>30</v>
      </c>
      <c r="M116" s="15">
        <v>31629</v>
      </c>
      <c r="N116" s="15">
        <v>53570</v>
      </c>
      <c r="O116" s="15">
        <v>46069</v>
      </c>
      <c r="P116" s="15">
        <v>45696</v>
      </c>
      <c r="Q116" s="15">
        <v>45674</v>
      </c>
      <c r="R116" s="19"/>
      <c r="S116" s="20"/>
      <c r="T116" s="21" t="s">
        <v>594</v>
      </c>
      <c r="U116" s="21" t="s">
        <v>595</v>
      </c>
      <c r="V116" s="22">
        <f t="shared" si="30"/>
        <v>11</v>
      </c>
      <c r="W116" s="60"/>
    </row>
    <row r="117" spans="1:23" ht="30">
      <c r="A117" s="8">
        <v>125</v>
      </c>
      <c r="B117" s="9" t="s">
        <v>596</v>
      </c>
      <c r="C117" s="10" t="s">
        <v>23</v>
      </c>
      <c r="D117" s="119" t="s">
        <v>597</v>
      </c>
      <c r="E117" s="120" t="s">
        <v>598</v>
      </c>
      <c r="F117" s="112" t="s">
        <v>26</v>
      </c>
      <c r="G117" s="12" t="s">
        <v>27</v>
      </c>
      <c r="H117" s="13" t="s">
        <v>28</v>
      </c>
      <c r="I117" s="115">
        <v>8420320026</v>
      </c>
      <c r="J117" s="54">
        <v>9708204989</v>
      </c>
      <c r="K117" s="10" t="s">
        <v>29</v>
      </c>
      <c r="L117" s="14" t="s">
        <v>30</v>
      </c>
      <c r="M117" s="15">
        <v>32075</v>
      </c>
      <c r="N117" s="15">
        <v>53996</v>
      </c>
      <c r="O117" s="15">
        <v>45336</v>
      </c>
      <c r="P117" s="15">
        <v>45541</v>
      </c>
      <c r="Q117" s="18">
        <v>45524</v>
      </c>
      <c r="R117" s="29" t="s">
        <v>599</v>
      </c>
      <c r="S117" s="21" t="s">
        <v>599</v>
      </c>
      <c r="T117" s="21" t="s">
        <v>600</v>
      </c>
      <c r="U117" s="21" t="s">
        <v>601</v>
      </c>
      <c r="V117" s="22">
        <f t="shared" si="30"/>
        <v>11</v>
      </c>
      <c r="W117" s="22"/>
    </row>
    <row r="118" spans="1:23" ht="60.75">
      <c r="A118" s="8">
        <v>126</v>
      </c>
      <c r="B118" s="99" t="s">
        <v>602</v>
      </c>
      <c r="C118" s="10" t="s">
        <v>23</v>
      </c>
      <c r="D118" s="81" t="s">
        <v>603</v>
      </c>
      <c r="E118" s="61" t="s">
        <v>604</v>
      </c>
      <c r="F118" s="114" t="s">
        <v>375</v>
      </c>
      <c r="G118" s="83" t="s">
        <v>89</v>
      </c>
      <c r="H118" s="12" t="s">
        <v>28</v>
      </c>
      <c r="I118" s="121">
        <v>9002071090</v>
      </c>
      <c r="J118" s="95">
        <v>9681122341</v>
      </c>
      <c r="K118" s="10" t="s">
        <v>29</v>
      </c>
      <c r="L118" s="70" t="s">
        <v>478</v>
      </c>
      <c r="M118" s="17">
        <v>31804</v>
      </c>
      <c r="N118" s="17">
        <v>53723</v>
      </c>
      <c r="O118" s="17">
        <v>46207</v>
      </c>
      <c r="P118" s="18">
        <v>45695</v>
      </c>
      <c r="Q118" s="18">
        <v>45674</v>
      </c>
      <c r="R118" s="37"/>
      <c r="S118" s="21" t="s">
        <v>440</v>
      </c>
      <c r="T118" s="21" t="s">
        <v>605</v>
      </c>
      <c r="U118" s="21" t="s">
        <v>606</v>
      </c>
      <c r="V118" s="84">
        <f>LEN(D118)</f>
        <v>11</v>
      </c>
      <c r="W118" s="66"/>
    </row>
    <row r="119" spans="1:23" ht="45">
      <c r="A119" s="8">
        <v>127</v>
      </c>
      <c r="B119" s="9" t="s">
        <v>607</v>
      </c>
      <c r="C119" s="10" t="s">
        <v>23</v>
      </c>
      <c r="D119" s="77" t="s">
        <v>608</v>
      </c>
      <c r="E119" s="122" t="s">
        <v>609</v>
      </c>
      <c r="F119" s="114" t="s">
        <v>26</v>
      </c>
      <c r="G119" s="13" t="s">
        <v>27</v>
      </c>
      <c r="H119" s="10" t="s">
        <v>28</v>
      </c>
      <c r="I119" s="118">
        <v>9002071096</v>
      </c>
      <c r="J119" s="109"/>
      <c r="K119" s="10" t="s">
        <v>29</v>
      </c>
      <c r="L119" s="78" t="s">
        <v>115</v>
      </c>
      <c r="M119" s="15">
        <v>32249</v>
      </c>
      <c r="N119" s="15">
        <v>54178</v>
      </c>
      <c r="O119" s="15">
        <v>46201</v>
      </c>
      <c r="P119" s="18">
        <v>45695</v>
      </c>
      <c r="Q119" s="15">
        <v>45674</v>
      </c>
      <c r="R119" s="19"/>
      <c r="S119" s="20"/>
      <c r="T119" s="21" t="s">
        <v>610</v>
      </c>
      <c r="U119" s="21" t="s">
        <v>611</v>
      </c>
      <c r="V119" s="22">
        <f>LEN(TEXT(D119,0))</f>
        <v>11</v>
      </c>
      <c r="W119" s="22"/>
    </row>
    <row r="120" spans="1:23" ht="45">
      <c r="A120" s="8">
        <v>128</v>
      </c>
      <c r="B120" s="9" t="s">
        <v>612</v>
      </c>
      <c r="C120" s="10" t="s">
        <v>23</v>
      </c>
      <c r="D120" s="123" t="s">
        <v>613</v>
      </c>
      <c r="E120" s="12" t="s">
        <v>614</v>
      </c>
      <c r="F120" s="25" t="s">
        <v>26</v>
      </c>
      <c r="G120" s="12" t="s">
        <v>27</v>
      </c>
      <c r="H120" s="10" t="s">
        <v>28</v>
      </c>
      <c r="I120" s="10">
        <v>9333328800</v>
      </c>
      <c r="J120" s="13">
        <v>9333328800</v>
      </c>
      <c r="K120" s="10" t="s">
        <v>29</v>
      </c>
      <c r="L120" s="10" t="s">
        <v>273</v>
      </c>
      <c r="M120" s="15">
        <v>31882</v>
      </c>
      <c r="N120" s="15">
        <v>53812</v>
      </c>
      <c r="O120" s="15">
        <v>46208</v>
      </c>
      <c r="P120" s="64">
        <v>45628</v>
      </c>
      <c r="Q120" s="18">
        <v>45649</v>
      </c>
      <c r="R120" s="101"/>
      <c r="S120" s="72"/>
      <c r="T120" s="43" t="s">
        <v>615</v>
      </c>
      <c r="U120" s="43" t="s">
        <v>616</v>
      </c>
      <c r="V120" s="60">
        <f>LEN(D120)</f>
        <v>11</v>
      </c>
      <c r="W120" s="60"/>
    </row>
    <row r="121" spans="1:23" ht="30">
      <c r="A121" s="8">
        <v>129</v>
      </c>
      <c r="B121" s="85" t="s">
        <v>617</v>
      </c>
      <c r="C121" s="10" t="s">
        <v>23</v>
      </c>
      <c r="D121" s="77" t="s">
        <v>618</v>
      </c>
      <c r="E121" s="124" t="s">
        <v>619</v>
      </c>
      <c r="F121" s="10" t="s">
        <v>26</v>
      </c>
      <c r="G121" s="13" t="s">
        <v>89</v>
      </c>
      <c r="H121" s="10" t="s">
        <v>28</v>
      </c>
      <c r="I121" s="115">
        <v>9002071790</v>
      </c>
      <c r="J121" s="13">
        <v>9143938920</v>
      </c>
      <c r="K121" s="10" t="s">
        <v>29</v>
      </c>
      <c r="L121" s="25" t="s">
        <v>588</v>
      </c>
      <c r="M121" s="15">
        <v>33144</v>
      </c>
      <c r="N121" s="15">
        <v>55061</v>
      </c>
      <c r="O121" s="15">
        <v>46202</v>
      </c>
      <c r="P121" s="15">
        <v>45628</v>
      </c>
      <c r="Q121" s="18">
        <v>45649</v>
      </c>
      <c r="R121" s="19"/>
      <c r="S121" s="20"/>
      <c r="T121" s="21" t="s">
        <v>620</v>
      </c>
      <c r="U121" s="21" t="s">
        <v>621</v>
      </c>
      <c r="V121" s="20">
        <f>LEN(TEXT(D121,0))</f>
        <v>11</v>
      </c>
      <c r="W121" s="23">
        <f ca="1">INT((TODAY()-M121)/365)</f>
        <v>35</v>
      </c>
    </row>
    <row r="122" spans="1:23" ht="45.75">
      <c r="A122" s="8">
        <v>130</v>
      </c>
      <c r="B122" s="99" t="s">
        <v>622</v>
      </c>
      <c r="C122" s="10" t="s">
        <v>23</v>
      </c>
      <c r="D122" s="81" t="s">
        <v>623</v>
      </c>
      <c r="E122" s="61" t="s">
        <v>624</v>
      </c>
      <c r="F122" s="114" t="s">
        <v>375</v>
      </c>
      <c r="G122" s="83" t="s">
        <v>89</v>
      </c>
      <c r="H122" s="12" t="s">
        <v>28</v>
      </c>
      <c r="I122" s="116">
        <v>9002071019</v>
      </c>
      <c r="J122" s="12"/>
      <c r="K122" s="10" t="s">
        <v>29</v>
      </c>
      <c r="L122" s="10" t="s">
        <v>41</v>
      </c>
      <c r="M122" s="17">
        <v>31385</v>
      </c>
      <c r="N122" s="17">
        <v>53327</v>
      </c>
      <c r="O122" s="17">
        <v>46419</v>
      </c>
      <c r="P122" s="18">
        <v>45695</v>
      </c>
      <c r="Q122" s="18">
        <v>45674</v>
      </c>
      <c r="R122" s="84"/>
      <c r="S122" s="84"/>
      <c r="T122" s="21" t="s">
        <v>625</v>
      </c>
      <c r="U122" s="21" t="s">
        <v>626</v>
      </c>
      <c r="V122" s="84">
        <f t="shared" ref="V122:V125" si="31">LEN(D122)</f>
        <v>11</v>
      </c>
      <c r="W122" s="66"/>
    </row>
    <row r="123" spans="1:23" ht="30">
      <c r="A123" s="8">
        <v>131</v>
      </c>
      <c r="B123" s="125" t="s">
        <v>627</v>
      </c>
      <c r="C123" s="10" t="s">
        <v>23</v>
      </c>
      <c r="D123" s="11" t="s">
        <v>628</v>
      </c>
      <c r="E123" s="25" t="s">
        <v>629</v>
      </c>
      <c r="F123" s="112" t="s">
        <v>26</v>
      </c>
      <c r="G123" s="33" t="s">
        <v>27</v>
      </c>
      <c r="H123" s="10" t="s">
        <v>28</v>
      </c>
      <c r="I123" s="116">
        <v>9163382090</v>
      </c>
      <c r="J123" s="54">
        <v>9088185192</v>
      </c>
      <c r="K123" s="10" t="s">
        <v>29</v>
      </c>
      <c r="L123" s="25" t="s">
        <v>79</v>
      </c>
      <c r="M123" s="15">
        <v>31654</v>
      </c>
      <c r="N123" s="15">
        <v>53570</v>
      </c>
      <c r="O123" s="15">
        <v>46175</v>
      </c>
      <c r="P123" s="15">
        <v>45156</v>
      </c>
      <c r="Q123" s="126">
        <v>45106</v>
      </c>
      <c r="R123" s="21" t="s">
        <v>630</v>
      </c>
      <c r="S123" s="21" t="s">
        <v>631</v>
      </c>
      <c r="T123" s="21" t="s">
        <v>632</v>
      </c>
      <c r="U123" s="21" t="s">
        <v>633</v>
      </c>
      <c r="V123" s="127">
        <f t="shared" si="31"/>
        <v>11</v>
      </c>
      <c r="W123" s="72"/>
    </row>
    <row r="124" spans="1:23" ht="45">
      <c r="A124" s="8">
        <v>132</v>
      </c>
      <c r="B124" s="128" t="s">
        <v>634</v>
      </c>
      <c r="C124" s="10" t="s">
        <v>23</v>
      </c>
      <c r="D124" s="11" t="s">
        <v>635</v>
      </c>
      <c r="E124" s="129" t="s">
        <v>636</v>
      </c>
      <c r="F124" s="112" t="s">
        <v>26</v>
      </c>
      <c r="G124" s="33" t="s">
        <v>27</v>
      </c>
      <c r="H124" s="10" t="s">
        <v>28</v>
      </c>
      <c r="I124" s="116">
        <v>9002071012</v>
      </c>
      <c r="J124" s="10">
        <v>7044135546</v>
      </c>
      <c r="K124" s="10" t="s">
        <v>29</v>
      </c>
      <c r="L124" s="14" t="s">
        <v>30</v>
      </c>
      <c r="M124" s="15">
        <v>29952</v>
      </c>
      <c r="N124" s="15">
        <v>51897</v>
      </c>
      <c r="O124" s="15">
        <v>46204</v>
      </c>
      <c r="P124" s="15">
        <v>45131</v>
      </c>
      <c r="Q124" s="126">
        <v>45127</v>
      </c>
      <c r="R124" s="21" t="s">
        <v>637</v>
      </c>
      <c r="S124" s="20"/>
      <c r="T124" s="21" t="s">
        <v>638</v>
      </c>
      <c r="U124" s="21" t="s">
        <v>633</v>
      </c>
      <c r="V124" s="127">
        <f t="shared" si="31"/>
        <v>11</v>
      </c>
      <c r="W124" s="72"/>
    </row>
    <row r="125" spans="1:23" ht="32.25">
      <c r="A125" s="8">
        <v>133</v>
      </c>
      <c r="B125" s="130" t="s">
        <v>639</v>
      </c>
      <c r="C125" s="10" t="s">
        <v>23</v>
      </c>
      <c r="D125" s="131">
        <v>50205618198</v>
      </c>
      <c r="E125" s="120" t="s">
        <v>640</v>
      </c>
      <c r="F125" s="25" t="s">
        <v>26</v>
      </c>
      <c r="G125" s="132" t="s">
        <v>89</v>
      </c>
      <c r="H125" s="10" t="s">
        <v>28</v>
      </c>
      <c r="I125" s="133">
        <v>9002071179</v>
      </c>
      <c r="J125" s="95">
        <v>9434462919</v>
      </c>
      <c r="K125" s="10" t="s">
        <v>29</v>
      </c>
      <c r="L125" s="10" t="s">
        <v>62</v>
      </c>
      <c r="M125" s="17">
        <v>31243</v>
      </c>
      <c r="N125" s="17">
        <v>53174</v>
      </c>
      <c r="O125" s="17">
        <v>46203</v>
      </c>
      <c r="P125" s="17">
        <v>45156</v>
      </c>
      <c r="Q125" s="18">
        <v>45106</v>
      </c>
      <c r="R125" s="43" t="s">
        <v>641</v>
      </c>
      <c r="S125" s="43" t="s">
        <v>642</v>
      </c>
      <c r="T125" s="43" t="s">
        <v>643</v>
      </c>
      <c r="U125" s="43" t="s">
        <v>633</v>
      </c>
      <c r="V125" s="110">
        <f t="shared" si="31"/>
        <v>11</v>
      </c>
      <c r="W125" s="66"/>
    </row>
    <row r="126" spans="1:23" ht="45">
      <c r="A126" s="134">
        <v>23</v>
      </c>
      <c r="B126" s="73" t="s">
        <v>644</v>
      </c>
      <c r="C126" s="10" t="s">
        <v>23</v>
      </c>
      <c r="D126" s="35" t="s">
        <v>645</v>
      </c>
      <c r="E126" s="25" t="s">
        <v>646</v>
      </c>
      <c r="F126" s="112" t="s">
        <v>26</v>
      </c>
      <c r="G126" s="58" t="s">
        <v>89</v>
      </c>
      <c r="H126" s="12" t="s">
        <v>28</v>
      </c>
      <c r="I126" s="116">
        <v>9002071182</v>
      </c>
      <c r="J126" s="13"/>
      <c r="K126" s="10" t="s">
        <v>29</v>
      </c>
      <c r="L126" s="13" t="s">
        <v>249</v>
      </c>
      <c r="M126" s="15">
        <v>32845</v>
      </c>
      <c r="N126" s="15">
        <v>54788</v>
      </c>
      <c r="O126" s="15">
        <v>46247</v>
      </c>
      <c r="P126" s="17">
        <v>45321</v>
      </c>
      <c r="Q126" s="18">
        <v>45276</v>
      </c>
      <c r="R126" s="32" t="s">
        <v>647</v>
      </c>
      <c r="S126" s="32" t="s">
        <v>648</v>
      </c>
      <c r="T126" s="32" t="s">
        <v>649</v>
      </c>
      <c r="U126" s="21" t="s">
        <v>650</v>
      </c>
      <c r="V126" s="108">
        <f ca="1">INT((TODAY()-M126)/365)</f>
        <v>36</v>
      </c>
      <c r="W126" s="28"/>
    </row>
    <row r="127" spans="1:23" ht="45">
      <c r="A127" s="134">
        <v>37</v>
      </c>
      <c r="B127" s="34" t="s">
        <v>651</v>
      </c>
      <c r="C127" s="10" t="s">
        <v>23</v>
      </c>
      <c r="D127" s="35" t="s">
        <v>652</v>
      </c>
      <c r="E127" s="25" t="s">
        <v>653</v>
      </c>
      <c r="F127" s="10" t="s">
        <v>26</v>
      </c>
      <c r="G127" s="13" t="s">
        <v>89</v>
      </c>
      <c r="H127" s="12" t="s">
        <v>654</v>
      </c>
      <c r="I127" s="13">
        <v>7797521711</v>
      </c>
      <c r="J127" s="13"/>
      <c r="K127" s="10" t="s">
        <v>29</v>
      </c>
      <c r="L127" s="10" t="s">
        <v>115</v>
      </c>
      <c r="M127" s="15">
        <v>31081</v>
      </c>
      <c r="N127" s="15">
        <v>53021</v>
      </c>
      <c r="O127" s="15">
        <v>46235</v>
      </c>
      <c r="P127" s="17">
        <v>45321</v>
      </c>
      <c r="Q127" s="18">
        <v>45276</v>
      </c>
      <c r="R127" s="32" t="s">
        <v>655</v>
      </c>
      <c r="S127" s="59"/>
      <c r="T127" s="32" t="s">
        <v>656</v>
      </c>
      <c r="U127" s="59"/>
      <c r="V127" s="111">
        <f>LEN(TEXT(D127,0))</f>
        <v>11</v>
      </c>
      <c r="W127" s="54"/>
    </row>
    <row r="128" spans="1:23" ht="45.75">
      <c r="A128" s="135">
        <v>68</v>
      </c>
      <c r="B128" s="130" t="s">
        <v>657</v>
      </c>
      <c r="C128" s="10" t="s">
        <v>23</v>
      </c>
      <c r="D128" s="131">
        <v>50205618587</v>
      </c>
      <c r="E128" s="120" t="s">
        <v>658</v>
      </c>
      <c r="F128" s="25" t="s">
        <v>26</v>
      </c>
      <c r="G128" s="132" t="s">
        <v>89</v>
      </c>
      <c r="H128" s="10" t="s">
        <v>28</v>
      </c>
      <c r="I128" s="136">
        <v>9002071670</v>
      </c>
      <c r="J128" s="12"/>
      <c r="K128" s="10" t="s">
        <v>29</v>
      </c>
      <c r="L128" s="10" t="s">
        <v>588</v>
      </c>
      <c r="M128" s="17">
        <v>31254</v>
      </c>
      <c r="N128" s="17">
        <v>53174</v>
      </c>
      <c r="O128" s="17">
        <v>46250</v>
      </c>
      <c r="P128" s="17">
        <v>45321</v>
      </c>
      <c r="Q128" s="18">
        <v>45276</v>
      </c>
      <c r="R128" s="21" t="s">
        <v>659</v>
      </c>
      <c r="S128" s="21" t="s">
        <v>660</v>
      </c>
      <c r="T128" s="21" t="s">
        <v>661</v>
      </c>
      <c r="U128" s="21" t="s">
        <v>662</v>
      </c>
      <c r="V128" s="84">
        <f t="shared" ref="V128:V129" si="32">LEN(D128)</f>
        <v>11</v>
      </c>
      <c r="W128" s="25"/>
    </row>
    <row r="129" spans="1:23" ht="45.75">
      <c r="A129" s="134">
        <v>16</v>
      </c>
      <c r="B129" s="137" t="s">
        <v>663</v>
      </c>
      <c r="C129" s="10" t="s">
        <v>23</v>
      </c>
      <c r="D129" s="35" t="s">
        <v>664</v>
      </c>
      <c r="E129" s="25" t="s">
        <v>665</v>
      </c>
      <c r="F129" s="13" t="s">
        <v>26</v>
      </c>
      <c r="G129" s="132" t="s">
        <v>89</v>
      </c>
      <c r="H129" s="10" t="s">
        <v>28</v>
      </c>
      <c r="I129" s="116">
        <v>9002071607</v>
      </c>
      <c r="J129" s="109"/>
      <c r="K129" s="10" t="s">
        <v>29</v>
      </c>
      <c r="L129" s="12" t="s">
        <v>90</v>
      </c>
      <c r="M129" s="17">
        <v>32062</v>
      </c>
      <c r="N129" s="17">
        <v>53996</v>
      </c>
      <c r="O129" s="17">
        <v>46189</v>
      </c>
      <c r="P129" s="17">
        <v>45321</v>
      </c>
      <c r="Q129" s="18">
        <v>45276</v>
      </c>
      <c r="R129" s="21" t="s">
        <v>666</v>
      </c>
      <c r="S129" s="84"/>
      <c r="T129" s="21" t="s">
        <v>667</v>
      </c>
      <c r="U129" s="21" t="s">
        <v>668</v>
      </c>
      <c r="V129" s="84">
        <f t="shared" si="32"/>
        <v>11</v>
      </c>
      <c r="W129" s="108">
        <f t="shared" ref="W129:W131" ca="1" si="33">INT((TODAY()-M129)/365)</f>
        <v>38</v>
      </c>
    </row>
    <row r="130" spans="1:23" ht="45">
      <c r="A130" s="138">
        <v>10</v>
      </c>
      <c r="B130" s="9" t="s">
        <v>669</v>
      </c>
      <c r="C130" s="10" t="s">
        <v>23</v>
      </c>
      <c r="D130" s="77" t="s">
        <v>670</v>
      </c>
      <c r="E130" s="47" t="s">
        <v>671</v>
      </c>
      <c r="F130" s="10" t="s">
        <v>26</v>
      </c>
      <c r="G130" s="12" t="s">
        <v>27</v>
      </c>
      <c r="H130" s="10" t="s">
        <v>35</v>
      </c>
      <c r="I130" s="10">
        <v>9002071752</v>
      </c>
      <c r="J130" s="13">
        <v>9883250592</v>
      </c>
      <c r="K130" s="10" t="s">
        <v>29</v>
      </c>
      <c r="L130" s="10" t="s">
        <v>30</v>
      </c>
      <c r="M130" s="15">
        <v>31822</v>
      </c>
      <c r="N130" s="15">
        <v>53751</v>
      </c>
      <c r="O130" s="15">
        <v>46092</v>
      </c>
      <c r="P130" s="15">
        <v>45375</v>
      </c>
      <c r="Q130" s="18">
        <v>45316</v>
      </c>
      <c r="R130" s="19"/>
      <c r="S130" s="21" t="s">
        <v>672</v>
      </c>
      <c r="T130" s="21" t="s">
        <v>673</v>
      </c>
      <c r="U130" s="21" t="s">
        <v>674</v>
      </c>
      <c r="V130" s="20">
        <f t="shared" ref="V130:V133" si="34">LEN(TEXT(D130,0))</f>
        <v>11</v>
      </c>
      <c r="W130" s="108">
        <f t="shared" ca="1" si="33"/>
        <v>39</v>
      </c>
    </row>
    <row r="131" spans="1:23" ht="45">
      <c r="A131" s="138">
        <v>11</v>
      </c>
      <c r="B131" s="9" t="s">
        <v>675</v>
      </c>
      <c r="C131" s="10" t="s">
        <v>23</v>
      </c>
      <c r="D131" s="77" t="s">
        <v>676</v>
      </c>
      <c r="E131" s="47" t="s">
        <v>677</v>
      </c>
      <c r="F131" s="10" t="s">
        <v>26</v>
      </c>
      <c r="G131" s="10" t="s">
        <v>89</v>
      </c>
      <c r="H131" s="10" t="s">
        <v>35</v>
      </c>
      <c r="I131" s="139">
        <v>9002071087</v>
      </c>
      <c r="J131" s="13">
        <v>7980509963</v>
      </c>
      <c r="K131" s="10" t="s">
        <v>29</v>
      </c>
      <c r="L131" s="10" t="s">
        <v>678</v>
      </c>
      <c r="M131" s="15">
        <v>31126</v>
      </c>
      <c r="N131" s="15">
        <v>53052</v>
      </c>
      <c r="O131" s="15">
        <v>46160</v>
      </c>
      <c r="P131" s="17">
        <v>45499</v>
      </c>
      <c r="Q131" s="18">
        <v>45369</v>
      </c>
      <c r="R131" s="19"/>
      <c r="S131" s="21" t="s">
        <v>679</v>
      </c>
      <c r="T131" s="21" t="s">
        <v>680</v>
      </c>
      <c r="U131" s="21" t="s">
        <v>681</v>
      </c>
      <c r="V131" s="20">
        <f t="shared" si="34"/>
        <v>11</v>
      </c>
      <c r="W131" s="108">
        <f t="shared" ca="1" si="33"/>
        <v>41</v>
      </c>
    </row>
    <row r="132" spans="1:23" ht="30">
      <c r="A132" s="134">
        <v>53</v>
      </c>
      <c r="B132" s="34" t="s">
        <v>682</v>
      </c>
      <c r="C132" s="10" t="s">
        <v>23</v>
      </c>
      <c r="D132" s="35" t="s">
        <v>683</v>
      </c>
      <c r="E132" s="25" t="s">
        <v>684</v>
      </c>
      <c r="F132" s="117" t="s">
        <v>26</v>
      </c>
      <c r="G132" s="13" t="s">
        <v>27</v>
      </c>
      <c r="H132" s="12" t="s">
        <v>28</v>
      </c>
      <c r="I132" s="13">
        <v>8100641958</v>
      </c>
      <c r="J132" s="13"/>
      <c r="K132" s="10" t="s">
        <v>29</v>
      </c>
      <c r="L132" s="14" t="s">
        <v>30</v>
      </c>
      <c r="M132" s="15">
        <v>32549</v>
      </c>
      <c r="N132" s="15">
        <v>54482</v>
      </c>
      <c r="O132" s="140">
        <v>45838</v>
      </c>
      <c r="P132" s="15">
        <v>45363</v>
      </c>
      <c r="Q132" s="15">
        <v>45307</v>
      </c>
      <c r="R132" s="32" t="s">
        <v>685</v>
      </c>
      <c r="S132" s="32" t="s">
        <v>686</v>
      </c>
      <c r="T132" s="32" t="s">
        <v>687</v>
      </c>
      <c r="U132" s="32" t="s">
        <v>688</v>
      </c>
      <c r="V132" s="111">
        <f t="shared" si="34"/>
        <v>11</v>
      </c>
      <c r="W132" s="54"/>
    </row>
    <row r="133" spans="1:23" ht="30">
      <c r="A133" s="134">
        <v>45</v>
      </c>
      <c r="B133" s="34" t="s">
        <v>689</v>
      </c>
      <c r="C133" s="10" t="s">
        <v>23</v>
      </c>
      <c r="D133" s="35" t="s">
        <v>690</v>
      </c>
      <c r="E133" s="25" t="s">
        <v>691</v>
      </c>
      <c r="F133" s="114" t="s">
        <v>26</v>
      </c>
      <c r="G133" s="13" t="s">
        <v>89</v>
      </c>
      <c r="H133" s="12" t="s">
        <v>28</v>
      </c>
      <c r="I133" s="116">
        <v>9002071091</v>
      </c>
      <c r="J133" s="54">
        <v>7001371395</v>
      </c>
      <c r="K133" s="10" t="s">
        <v>29</v>
      </c>
      <c r="L133" s="10" t="s">
        <v>115</v>
      </c>
      <c r="M133" s="15">
        <v>30256</v>
      </c>
      <c r="N133" s="15">
        <v>52170</v>
      </c>
      <c r="O133" s="140">
        <v>46187</v>
      </c>
      <c r="P133" s="18">
        <v>45695</v>
      </c>
      <c r="Q133" s="15">
        <v>45552</v>
      </c>
      <c r="R133" s="32" t="s">
        <v>692</v>
      </c>
      <c r="S133" s="32" t="s">
        <v>693</v>
      </c>
      <c r="T133" s="32" t="s">
        <v>694</v>
      </c>
      <c r="U133" s="32" t="s">
        <v>695</v>
      </c>
      <c r="V133" s="111">
        <f t="shared" si="34"/>
        <v>11</v>
      </c>
      <c r="W133" s="54"/>
    </row>
    <row r="134" spans="1:23" ht="30.75">
      <c r="A134" s="134">
        <v>40</v>
      </c>
      <c r="B134" s="80" t="s">
        <v>696</v>
      </c>
      <c r="C134" s="10" t="s">
        <v>23</v>
      </c>
      <c r="D134" s="141">
        <v>50200154180</v>
      </c>
      <c r="E134" s="120" t="s">
        <v>697</v>
      </c>
      <c r="F134" s="142" t="s">
        <v>26</v>
      </c>
      <c r="G134" s="132" t="s">
        <v>89</v>
      </c>
      <c r="H134" s="12" t="s">
        <v>654</v>
      </c>
      <c r="I134" s="133">
        <v>9002071074</v>
      </c>
      <c r="J134" s="12"/>
      <c r="K134" s="10" t="s">
        <v>29</v>
      </c>
      <c r="L134" s="10" t="s">
        <v>571</v>
      </c>
      <c r="M134" s="17">
        <v>32738</v>
      </c>
      <c r="N134" s="17">
        <v>54666</v>
      </c>
      <c r="O134" s="17">
        <v>45854</v>
      </c>
      <c r="P134" s="15">
        <v>45485</v>
      </c>
      <c r="Q134" s="18">
        <v>45468</v>
      </c>
      <c r="R134" s="21" t="s">
        <v>698</v>
      </c>
      <c r="S134" s="21" t="s">
        <v>699</v>
      </c>
      <c r="T134" s="21" t="s">
        <v>700</v>
      </c>
      <c r="U134" s="21" t="s">
        <v>701</v>
      </c>
      <c r="V134" s="84">
        <f>LEN(D134)</f>
        <v>11</v>
      </c>
      <c r="W134" s="66"/>
    </row>
    <row r="135" spans="1:23" ht="60">
      <c r="A135" s="143">
        <v>1</v>
      </c>
      <c r="B135" s="9" t="s">
        <v>702</v>
      </c>
      <c r="C135" s="10" t="s">
        <v>703</v>
      </c>
      <c r="D135" s="11" t="s">
        <v>704</v>
      </c>
      <c r="E135" s="13" t="s">
        <v>705</v>
      </c>
      <c r="F135" s="10" t="s">
        <v>26</v>
      </c>
      <c r="G135" s="13" t="s">
        <v>27</v>
      </c>
      <c r="H135" s="10"/>
      <c r="I135" s="13">
        <v>9002071805</v>
      </c>
      <c r="J135" s="13">
        <v>9002071805</v>
      </c>
      <c r="K135" s="10" t="s">
        <v>29</v>
      </c>
      <c r="L135" s="25" t="s">
        <v>706</v>
      </c>
      <c r="M135" s="15">
        <v>24475</v>
      </c>
      <c r="N135" s="15">
        <v>46418</v>
      </c>
      <c r="O135" s="15">
        <v>45297</v>
      </c>
      <c r="P135" s="15">
        <v>45541</v>
      </c>
      <c r="Q135" s="18">
        <v>45188</v>
      </c>
      <c r="R135" s="110"/>
      <c r="S135" s="88" t="s">
        <v>707</v>
      </c>
      <c r="T135" s="72"/>
      <c r="U135" s="72"/>
      <c r="V135" s="60">
        <f t="shared" ref="V135:V148" si="35">LEN(TEXT(D135,0))</f>
        <v>11</v>
      </c>
      <c r="W135" s="23">
        <f t="shared" ref="W135:W148" ca="1" si="36">INT((TODAY()-M135)/365)</f>
        <v>59</v>
      </c>
    </row>
    <row r="136" spans="1:23" ht="45">
      <c r="A136" s="144">
        <v>2</v>
      </c>
      <c r="B136" s="9" t="s">
        <v>708</v>
      </c>
      <c r="C136" s="10" t="s">
        <v>703</v>
      </c>
      <c r="D136" s="11" t="s">
        <v>709</v>
      </c>
      <c r="E136" s="10" t="s">
        <v>710</v>
      </c>
      <c r="F136" s="10" t="s">
        <v>26</v>
      </c>
      <c r="G136" s="10" t="s">
        <v>47</v>
      </c>
      <c r="H136" s="10"/>
      <c r="I136" s="10">
        <v>8240637937</v>
      </c>
      <c r="J136" s="10">
        <v>8240637937</v>
      </c>
      <c r="K136" s="10" t="s">
        <v>29</v>
      </c>
      <c r="L136" s="10" t="s">
        <v>706</v>
      </c>
      <c r="M136" s="15">
        <v>31987</v>
      </c>
      <c r="N136" s="15">
        <v>53904</v>
      </c>
      <c r="O136" s="15">
        <v>46232</v>
      </c>
      <c r="P136" s="15">
        <v>45791</v>
      </c>
      <c r="Q136" s="15" t="s">
        <v>711</v>
      </c>
      <c r="R136" s="19"/>
      <c r="S136" s="21" t="s">
        <v>712</v>
      </c>
      <c r="T136" s="20"/>
      <c r="U136" s="20"/>
      <c r="V136" s="22">
        <f t="shared" si="35"/>
        <v>11</v>
      </c>
      <c r="W136" s="23">
        <f t="shared" ca="1" si="36"/>
        <v>38</v>
      </c>
    </row>
    <row r="137" spans="1:23" ht="45">
      <c r="A137" s="143">
        <v>3</v>
      </c>
      <c r="B137" s="9" t="s">
        <v>713</v>
      </c>
      <c r="C137" s="10" t="s">
        <v>703</v>
      </c>
      <c r="D137" s="45" t="s">
        <v>714</v>
      </c>
      <c r="E137" s="42" t="s">
        <v>715</v>
      </c>
      <c r="F137" s="10" t="s">
        <v>26</v>
      </c>
      <c r="G137" s="10" t="s">
        <v>89</v>
      </c>
      <c r="H137" s="10"/>
      <c r="I137" s="10">
        <v>8420320013</v>
      </c>
      <c r="J137" s="13">
        <v>8420320013</v>
      </c>
      <c r="K137" s="10" t="s">
        <v>29</v>
      </c>
      <c r="L137" s="10" t="s">
        <v>706</v>
      </c>
      <c r="M137" s="15">
        <v>27030</v>
      </c>
      <c r="N137" s="15">
        <v>48944</v>
      </c>
      <c r="O137" s="15">
        <v>45130</v>
      </c>
      <c r="P137" s="15">
        <v>45849</v>
      </c>
      <c r="Q137" s="15">
        <v>45886</v>
      </c>
      <c r="R137" s="59"/>
      <c r="S137" s="21" t="s">
        <v>716</v>
      </c>
      <c r="T137" s="20"/>
      <c r="U137" s="20"/>
      <c r="V137" s="22">
        <f t="shared" si="35"/>
        <v>11</v>
      </c>
      <c r="W137" s="23">
        <f t="shared" ca="1" si="36"/>
        <v>52</v>
      </c>
    </row>
    <row r="138" spans="1:23" ht="45">
      <c r="A138" s="144">
        <v>4</v>
      </c>
      <c r="B138" s="9" t="s">
        <v>717</v>
      </c>
      <c r="C138" s="10" t="s">
        <v>703</v>
      </c>
      <c r="D138" s="11" t="s">
        <v>718</v>
      </c>
      <c r="E138" s="33" t="s">
        <v>719</v>
      </c>
      <c r="F138" s="10" t="s">
        <v>26</v>
      </c>
      <c r="G138" s="10" t="s">
        <v>89</v>
      </c>
      <c r="H138" s="10"/>
      <c r="I138" s="10">
        <v>6289990692</v>
      </c>
      <c r="J138" s="10">
        <v>6289990692</v>
      </c>
      <c r="K138" s="10" t="s">
        <v>29</v>
      </c>
      <c r="L138" s="10" t="s">
        <v>706</v>
      </c>
      <c r="M138" s="15">
        <v>28382</v>
      </c>
      <c r="N138" s="15">
        <v>50313</v>
      </c>
      <c r="O138" s="15">
        <v>45482</v>
      </c>
      <c r="P138" s="15">
        <v>45738</v>
      </c>
      <c r="Q138" s="18">
        <v>45412</v>
      </c>
      <c r="R138" s="19"/>
      <c r="S138" s="21" t="s">
        <v>720</v>
      </c>
      <c r="T138" s="20"/>
      <c r="U138" s="20"/>
      <c r="V138" s="22">
        <f t="shared" si="35"/>
        <v>11</v>
      </c>
      <c r="W138" s="23">
        <f t="shared" ca="1" si="36"/>
        <v>48</v>
      </c>
    </row>
    <row r="139" spans="1:23" ht="45">
      <c r="A139" s="143">
        <v>5</v>
      </c>
      <c r="B139" s="9" t="s">
        <v>721</v>
      </c>
      <c r="C139" s="10" t="s">
        <v>703</v>
      </c>
      <c r="D139" s="45" t="s">
        <v>722</v>
      </c>
      <c r="E139" s="13" t="s">
        <v>723</v>
      </c>
      <c r="F139" s="10" t="s">
        <v>26</v>
      </c>
      <c r="G139" s="13" t="s">
        <v>27</v>
      </c>
      <c r="H139" s="10"/>
      <c r="I139" s="13">
        <v>8420320035</v>
      </c>
      <c r="J139" s="13">
        <v>8420320035</v>
      </c>
      <c r="K139" s="10" t="s">
        <v>29</v>
      </c>
      <c r="L139" s="10" t="s">
        <v>706</v>
      </c>
      <c r="M139" s="15">
        <v>28880</v>
      </c>
      <c r="N139" s="15">
        <v>50801</v>
      </c>
      <c r="O139" s="15">
        <v>45386</v>
      </c>
      <c r="P139" s="15">
        <v>45204</v>
      </c>
      <c r="Q139" s="15" t="s">
        <v>724</v>
      </c>
      <c r="R139" s="19"/>
      <c r="S139" s="21" t="s">
        <v>725</v>
      </c>
      <c r="T139" s="20" t="s">
        <v>532</v>
      </c>
      <c r="U139" s="20"/>
      <c r="V139" s="22">
        <f t="shared" si="35"/>
        <v>11</v>
      </c>
      <c r="W139" s="23">
        <f t="shared" ca="1" si="36"/>
        <v>47</v>
      </c>
    </row>
    <row r="140" spans="1:23" ht="45">
      <c r="A140" s="144">
        <v>6</v>
      </c>
      <c r="B140" s="9" t="s">
        <v>726</v>
      </c>
      <c r="C140" s="10" t="s">
        <v>703</v>
      </c>
      <c r="D140" s="53" t="s">
        <v>727</v>
      </c>
      <c r="E140" s="12" t="s">
        <v>728</v>
      </c>
      <c r="F140" s="10" t="s">
        <v>26</v>
      </c>
      <c r="G140" s="12" t="s">
        <v>27</v>
      </c>
      <c r="H140" s="10"/>
      <c r="I140" s="10">
        <v>9002079600</v>
      </c>
      <c r="J140" s="10">
        <v>9002079600</v>
      </c>
      <c r="K140" s="10" t="s">
        <v>29</v>
      </c>
      <c r="L140" s="10" t="s">
        <v>706</v>
      </c>
      <c r="M140" s="15">
        <v>27357</v>
      </c>
      <c r="N140" s="15">
        <v>49278</v>
      </c>
      <c r="O140" s="15">
        <v>45711</v>
      </c>
      <c r="P140" s="15">
        <v>45907</v>
      </c>
      <c r="Q140" s="15">
        <v>45950</v>
      </c>
      <c r="R140" s="19"/>
      <c r="S140" s="32" t="s">
        <v>729</v>
      </c>
      <c r="T140" s="20"/>
      <c r="U140" s="20"/>
      <c r="V140" s="22">
        <f t="shared" si="35"/>
        <v>11</v>
      </c>
      <c r="W140" s="23">
        <f t="shared" ca="1" si="36"/>
        <v>51</v>
      </c>
    </row>
    <row r="141" spans="1:23" ht="45">
      <c r="A141" s="143">
        <v>7</v>
      </c>
      <c r="B141" s="9" t="s">
        <v>730</v>
      </c>
      <c r="C141" s="10" t="s">
        <v>703</v>
      </c>
      <c r="D141" s="11" t="s">
        <v>731</v>
      </c>
      <c r="E141" s="12" t="s">
        <v>732</v>
      </c>
      <c r="F141" s="10" t="s">
        <v>26</v>
      </c>
      <c r="G141" s="12" t="s">
        <v>27</v>
      </c>
      <c r="H141" s="10"/>
      <c r="I141" s="10">
        <v>9002079023</v>
      </c>
      <c r="J141" s="13">
        <v>9002079023</v>
      </c>
      <c r="K141" s="10" t="s">
        <v>29</v>
      </c>
      <c r="L141" s="10" t="s">
        <v>706</v>
      </c>
      <c r="M141" s="15">
        <v>28676</v>
      </c>
      <c r="N141" s="15">
        <v>50617</v>
      </c>
      <c r="O141" s="15">
        <v>45127</v>
      </c>
      <c r="P141" s="15">
        <v>45541</v>
      </c>
      <c r="Q141" s="18">
        <v>45468</v>
      </c>
      <c r="R141" s="28"/>
      <c r="S141" s="29" t="s">
        <v>733</v>
      </c>
      <c r="T141" s="20"/>
      <c r="U141" s="20"/>
      <c r="V141" s="22">
        <f t="shared" si="35"/>
        <v>11</v>
      </c>
      <c r="W141" s="23">
        <f t="shared" ca="1" si="36"/>
        <v>47</v>
      </c>
    </row>
    <row r="142" spans="1:23" ht="45">
      <c r="A142" s="144">
        <v>8</v>
      </c>
      <c r="B142" s="9" t="s">
        <v>734</v>
      </c>
      <c r="C142" s="10" t="s">
        <v>703</v>
      </c>
      <c r="D142" s="11" t="s">
        <v>735</v>
      </c>
      <c r="E142" s="12" t="s">
        <v>736</v>
      </c>
      <c r="F142" s="10" t="s">
        <v>26</v>
      </c>
      <c r="G142" s="12" t="s">
        <v>27</v>
      </c>
      <c r="H142" s="10"/>
      <c r="I142" s="10">
        <v>9002071045</v>
      </c>
      <c r="J142" s="10">
        <v>9002071045</v>
      </c>
      <c r="K142" s="10" t="s">
        <v>29</v>
      </c>
      <c r="L142" s="10" t="s">
        <v>706</v>
      </c>
      <c r="M142" s="15">
        <v>26619</v>
      </c>
      <c r="N142" s="15">
        <v>48548</v>
      </c>
      <c r="O142" s="15">
        <v>45157</v>
      </c>
      <c r="P142" s="145">
        <v>45598</v>
      </c>
      <c r="Q142" s="18">
        <v>45496</v>
      </c>
      <c r="R142" s="28"/>
      <c r="S142" s="29" t="s">
        <v>737</v>
      </c>
      <c r="T142" s="20"/>
      <c r="U142" s="20"/>
      <c r="V142" s="22">
        <f t="shared" si="35"/>
        <v>11</v>
      </c>
      <c r="W142" s="23">
        <f t="shared" ca="1" si="36"/>
        <v>53</v>
      </c>
    </row>
    <row r="143" spans="1:23" ht="45">
      <c r="A143" s="143">
        <v>9</v>
      </c>
      <c r="B143" s="9" t="s">
        <v>738</v>
      </c>
      <c r="C143" s="10" t="s">
        <v>703</v>
      </c>
      <c r="D143" s="11" t="s">
        <v>739</v>
      </c>
      <c r="E143" s="12" t="s">
        <v>740</v>
      </c>
      <c r="F143" s="10" t="s">
        <v>26</v>
      </c>
      <c r="G143" s="12" t="s">
        <v>27</v>
      </c>
      <c r="H143" s="10"/>
      <c r="I143" s="10">
        <v>9002079607</v>
      </c>
      <c r="J143" s="13">
        <v>9002079607</v>
      </c>
      <c r="K143" s="10" t="s">
        <v>29</v>
      </c>
      <c r="L143" s="10" t="s">
        <v>706</v>
      </c>
      <c r="M143" s="15">
        <v>28509</v>
      </c>
      <c r="N143" s="15">
        <v>50436</v>
      </c>
      <c r="O143" s="15">
        <v>45447</v>
      </c>
      <c r="P143" s="15">
        <v>45204</v>
      </c>
      <c r="Q143" s="18">
        <v>45125</v>
      </c>
      <c r="R143" s="19"/>
      <c r="S143" s="21" t="s">
        <v>741</v>
      </c>
      <c r="T143" s="20"/>
      <c r="U143" s="20"/>
      <c r="V143" s="22">
        <f t="shared" si="35"/>
        <v>11</v>
      </c>
      <c r="W143" s="23">
        <f t="shared" ca="1" si="36"/>
        <v>48</v>
      </c>
    </row>
    <row r="144" spans="1:23" ht="45">
      <c r="A144" s="144">
        <v>10</v>
      </c>
      <c r="B144" s="9" t="s">
        <v>742</v>
      </c>
      <c r="C144" s="10" t="s">
        <v>703</v>
      </c>
      <c r="D144" s="53" t="s">
        <v>743</v>
      </c>
      <c r="E144" s="12" t="s">
        <v>744</v>
      </c>
      <c r="F144" s="10" t="s">
        <v>26</v>
      </c>
      <c r="G144" s="12" t="s">
        <v>27</v>
      </c>
      <c r="H144" s="10"/>
      <c r="I144" s="10">
        <v>9002079723</v>
      </c>
      <c r="J144" s="54">
        <v>9831506167</v>
      </c>
      <c r="K144" s="10" t="s">
        <v>29</v>
      </c>
      <c r="L144" s="10" t="s">
        <v>706</v>
      </c>
      <c r="M144" s="15">
        <v>30875</v>
      </c>
      <c r="N144" s="15">
        <v>52809</v>
      </c>
      <c r="O144" s="15">
        <v>45852</v>
      </c>
      <c r="P144" s="15">
        <v>45340</v>
      </c>
      <c r="Q144" s="18">
        <v>45188</v>
      </c>
      <c r="R144" s="19"/>
      <c r="S144" s="21" t="s">
        <v>745</v>
      </c>
      <c r="T144" s="20"/>
      <c r="U144" s="20"/>
      <c r="V144" s="22">
        <f t="shared" si="35"/>
        <v>11</v>
      </c>
      <c r="W144" s="23">
        <f t="shared" ca="1" si="36"/>
        <v>41</v>
      </c>
    </row>
    <row r="145" spans="1:23" ht="45">
      <c r="A145" s="143">
        <v>11</v>
      </c>
      <c r="B145" s="9" t="s">
        <v>746</v>
      </c>
      <c r="C145" s="10" t="s">
        <v>703</v>
      </c>
      <c r="D145" s="11" t="s">
        <v>747</v>
      </c>
      <c r="E145" s="63" t="s">
        <v>748</v>
      </c>
      <c r="F145" s="10" t="s">
        <v>26</v>
      </c>
      <c r="G145" s="13" t="s">
        <v>27</v>
      </c>
      <c r="H145" s="10"/>
      <c r="I145" s="13">
        <v>9002079614</v>
      </c>
      <c r="J145" s="13">
        <v>9002079614</v>
      </c>
      <c r="K145" s="10" t="s">
        <v>29</v>
      </c>
      <c r="L145" s="10" t="s">
        <v>706</v>
      </c>
      <c r="M145" s="15">
        <v>27701</v>
      </c>
      <c r="N145" s="15">
        <v>49643</v>
      </c>
      <c r="O145" s="15"/>
      <c r="P145" s="15"/>
      <c r="Q145" s="15"/>
      <c r="R145" s="19"/>
      <c r="S145" s="20"/>
      <c r="T145" s="20"/>
      <c r="U145" s="20"/>
      <c r="V145" s="22">
        <f t="shared" si="35"/>
        <v>11</v>
      </c>
      <c r="W145" s="23">
        <f t="shared" ca="1" si="36"/>
        <v>50</v>
      </c>
    </row>
    <row r="146" spans="1:23" ht="45">
      <c r="A146" s="144">
        <v>12</v>
      </c>
      <c r="B146" s="9" t="s">
        <v>749</v>
      </c>
      <c r="C146" s="10" t="s">
        <v>703</v>
      </c>
      <c r="D146" s="11" t="s">
        <v>750</v>
      </c>
      <c r="E146" s="10" t="s">
        <v>751</v>
      </c>
      <c r="F146" s="10" t="s">
        <v>26</v>
      </c>
      <c r="G146" s="10" t="s">
        <v>89</v>
      </c>
      <c r="H146" s="10"/>
      <c r="I146" s="10">
        <v>9002079303</v>
      </c>
      <c r="J146" s="10"/>
      <c r="K146" s="10" t="s">
        <v>29</v>
      </c>
      <c r="L146" s="10" t="s">
        <v>706</v>
      </c>
      <c r="M146" s="15">
        <v>25483</v>
      </c>
      <c r="N146" s="15">
        <v>47422</v>
      </c>
      <c r="O146" s="15">
        <v>45564</v>
      </c>
      <c r="P146" s="17">
        <v>45562</v>
      </c>
      <c r="Q146" s="97">
        <v>45385</v>
      </c>
      <c r="R146" s="19"/>
      <c r="S146" s="21" t="s">
        <v>752</v>
      </c>
      <c r="T146" s="20"/>
      <c r="U146" s="20"/>
      <c r="V146" s="22">
        <f t="shared" si="35"/>
        <v>11</v>
      </c>
      <c r="W146" s="23">
        <f t="shared" ca="1" si="36"/>
        <v>56</v>
      </c>
    </row>
    <row r="147" spans="1:23" ht="45">
      <c r="A147" s="143">
        <v>13</v>
      </c>
      <c r="B147" s="9" t="s">
        <v>753</v>
      </c>
      <c r="C147" s="10" t="s">
        <v>703</v>
      </c>
      <c r="D147" s="11" t="s">
        <v>754</v>
      </c>
      <c r="E147" s="10" t="s">
        <v>755</v>
      </c>
      <c r="F147" s="10" t="s">
        <v>26</v>
      </c>
      <c r="G147" s="10" t="s">
        <v>89</v>
      </c>
      <c r="H147" s="10"/>
      <c r="I147" s="10">
        <v>9002079780</v>
      </c>
      <c r="J147" s="10"/>
      <c r="K147" s="10" t="s">
        <v>29</v>
      </c>
      <c r="L147" s="10" t="s">
        <v>706</v>
      </c>
      <c r="M147" s="15">
        <v>29102</v>
      </c>
      <c r="N147" s="15">
        <v>51043</v>
      </c>
      <c r="O147" s="15">
        <v>45539</v>
      </c>
      <c r="P147" s="17">
        <v>45562</v>
      </c>
      <c r="Q147" s="18">
        <v>45496</v>
      </c>
      <c r="R147" s="19"/>
      <c r="S147" s="21" t="s">
        <v>756</v>
      </c>
      <c r="T147" s="20"/>
      <c r="U147" s="20"/>
      <c r="V147" s="22">
        <f t="shared" si="35"/>
        <v>11</v>
      </c>
      <c r="W147" s="23">
        <f t="shared" ca="1" si="36"/>
        <v>46</v>
      </c>
    </row>
    <row r="148" spans="1:23" ht="45">
      <c r="A148" s="144">
        <v>14</v>
      </c>
      <c r="B148" s="9" t="s">
        <v>757</v>
      </c>
      <c r="C148" s="10" t="s">
        <v>703</v>
      </c>
      <c r="D148" s="11" t="s">
        <v>758</v>
      </c>
      <c r="E148" s="10" t="s">
        <v>759</v>
      </c>
      <c r="F148" s="42" t="s">
        <v>26</v>
      </c>
      <c r="G148" s="10" t="s">
        <v>89</v>
      </c>
      <c r="H148" s="10"/>
      <c r="I148" s="10">
        <v>9002079793</v>
      </c>
      <c r="J148" s="10">
        <v>9002079793</v>
      </c>
      <c r="K148" s="10" t="s">
        <v>29</v>
      </c>
      <c r="L148" s="10" t="s">
        <v>706</v>
      </c>
      <c r="M148" s="15">
        <v>28397</v>
      </c>
      <c r="N148" s="15">
        <v>50313</v>
      </c>
      <c r="O148" s="15">
        <v>45400</v>
      </c>
      <c r="P148" s="17">
        <v>45562</v>
      </c>
      <c r="Q148" s="18">
        <v>45468</v>
      </c>
      <c r="R148" s="19"/>
      <c r="S148" s="29" t="s">
        <v>760</v>
      </c>
      <c r="T148" s="20"/>
      <c r="U148" s="20"/>
      <c r="V148" s="22">
        <f t="shared" si="35"/>
        <v>11</v>
      </c>
      <c r="W148" s="23">
        <f t="shared" ca="1" si="36"/>
        <v>48</v>
      </c>
    </row>
    <row r="149" spans="1:23" ht="45">
      <c r="A149" s="143">
        <v>19</v>
      </c>
      <c r="B149" s="34" t="s">
        <v>761</v>
      </c>
      <c r="C149" s="10" t="s">
        <v>762</v>
      </c>
      <c r="D149" s="146" t="s">
        <v>763</v>
      </c>
      <c r="E149" s="12" t="s">
        <v>764</v>
      </c>
      <c r="F149" s="147" t="s">
        <v>26</v>
      </c>
      <c r="G149" s="10" t="s">
        <v>89</v>
      </c>
      <c r="H149" s="10"/>
      <c r="I149" s="10">
        <v>6289209629</v>
      </c>
      <c r="J149" s="10"/>
      <c r="K149" s="10" t="s">
        <v>29</v>
      </c>
      <c r="L149" s="10" t="s">
        <v>765</v>
      </c>
      <c r="M149" s="15">
        <v>27567</v>
      </c>
      <c r="N149" s="15">
        <v>49490</v>
      </c>
      <c r="O149" s="36">
        <v>45617</v>
      </c>
      <c r="P149" s="15">
        <v>45517</v>
      </c>
      <c r="Q149" s="15">
        <v>45552</v>
      </c>
      <c r="R149" s="21" t="s">
        <v>766</v>
      </c>
      <c r="S149" s="21" t="s">
        <v>767</v>
      </c>
      <c r="T149" s="37"/>
      <c r="U149" s="37"/>
      <c r="V149" s="84"/>
      <c r="W149" s="110"/>
    </row>
    <row r="150" spans="1:23" ht="60">
      <c r="A150" s="144">
        <v>20</v>
      </c>
      <c r="B150" s="34" t="s">
        <v>768</v>
      </c>
      <c r="C150" s="10" t="s">
        <v>762</v>
      </c>
      <c r="D150" s="148" t="s">
        <v>769</v>
      </c>
      <c r="E150" s="10" t="s">
        <v>770</v>
      </c>
      <c r="F150" s="42" t="s">
        <v>26</v>
      </c>
      <c r="G150" s="10" t="s">
        <v>27</v>
      </c>
      <c r="H150" s="10"/>
      <c r="I150" s="10">
        <v>8170913254</v>
      </c>
      <c r="J150" s="10">
        <v>8170913254</v>
      </c>
      <c r="K150" s="10" t="s">
        <v>29</v>
      </c>
      <c r="L150" s="10" t="s">
        <v>678</v>
      </c>
      <c r="M150" s="15">
        <v>33270</v>
      </c>
      <c r="N150" s="15">
        <v>55184</v>
      </c>
      <c r="O150" s="36">
        <v>46244</v>
      </c>
      <c r="P150" s="17">
        <v>45222</v>
      </c>
      <c r="Q150" s="18">
        <v>45111</v>
      </c>
      <c r="R150" s="21" t="s">
        <v>771</v>
      </c>
      <c r="S150" s="21" t="s">
        <v>772</v>
      </c>
      <c r="T150" s="37"/>
      <c r="U150" s="37"/>
      <c r="V150" s="22">
        <f>LEN(D150)</f>
        <v>11</v>
      </c>
      <c r="W150" s="110"/>
    </row>
    <row r="151" spans="1:23" ht="45">
      <c r="A151" s="143">
        <v>21</v>
      </c>
      <c r="B151" s="149" t="s">
        <v>773</v>
      </c>
      <c r="C151" s="150" t="s">
        <v>703</v>
      </c>
      <c r="D151" s="151" t="s">
        <v>774</v>
      </c>
      <c r="E151" s="152" t="s">
        <v>775</v>
      </c>
      <c r="F151" s="10" t="s">
        <v>26</v>
      </c>
      <c r="G151" s="153" t="s">
        <v>27</v>
      </c>
      <c r="H151" s="154"/>
      <c r="I151" s="154">
        <v>9002071016</v>
      </c>
      <c r="J151" s="155"/>
      <c r="K151" s="10" t="s">
        <v>29</v>
      </c>
      <c r="L151" s="10" t="s">
        <v>706</v>
      </c>
      <c r="M151" s="156">
        <v>32640</v>
      </c>
      <c r="N151" s="156">
        <v>54574</v>
      </c>
      <c r="O151" s="156"/>
      <c r="P151" s="157"/>
      <c r="Q151" s="158"/>
      <c r="R151" s="159" t="s">
        <v>776</v>
      </c>
      <c r="S151" s="160"/>
      <c r="T151" s="160"/>
      <c r="U151" s="160"/>
      <c r="V151" s="161">
        <f>LEN(TEXT(D151,0))</f>
        <v>11</v>
      </c>
      <c r="W151" s="162"/>
    </row>
    <row r="152" spans="1:23" ht="45">
      <c r="A152" s="144">
        <v>22</v>
      </c>
      <c r="B152" s="34" t="s">
        <v>777</v>
      </c>
      <c r="C152" s="10" t="s">
        <v>762</v>
      </c>
      <c r="D152" s="163" t="s">
        <v>778</v>
      </c>
      <c r="E152" s="12" t="s">
        <v>779</v>
      </c>
      <c r="F152" s="164" t="s">
        <v>26</v>
      </c>
      <c r="G152" s="10" t="s">
        <v>89</v>
      </c>
      <c r="H152" s="10"/>
      <c r="I152" s="10">
        <v>6290093440</v>
      </c>
      <c r="J152" s="10">
        <v>6290093440</v>
      </c>
      <c r="K152" s="10" t="s">
        <v>29</v>
      </c>
      <c r="L152" s="10" t="s">
        <v>79</v>
      </c>
      <c r="M152" s="15">
        <v>30332</v>
      </c>
      <c r="N152" s="15">
        <v>52262</v>
      </c>
      <c r="O152" s="36">
        <v>45327</v>
      </c>
      <c r="P152" s="16">
        <v>45348</v>
      </c>
      <c r="Q152" s="97">
        <v>45385</v>
      </c>
      <c r="R152" s="21" t="s">
        <v>780</v>
      </c>
      <c r="S152" s="21" t="s">
        <v>781</v>
      </c>
      <c r="T152" s="37"/>
      <c r="U152" s="37"/>
      <c r="V152" s="84"/>
      <c r="W152" s="23">
        <f t="shared" ref="W152:W156" ca="1" si="37">INT((TODAY()-M152)/365)</f>
        <v>43</v>
      </c>
    </row>
    <row r="153" spans="1:23" ht="45">
      <c r="A153" s="143">
        <v>23</v>
      </c>
      <c r="B153" s="34" t="s">
        <v>782</v>
      </c>
      <c r="C153" s="25" t="s">
        <v>703</v>
      </c>
      <c r="D153" s="165" t="s">
        <v>783</v>
      </c>
      <c r="E153" s="12" t="s">
        <v>784</v>
      </c>
      <c r="F153" s="120" t="s">
        <v>375</v>
      </c>
      <c r="G153" s="10" t="s">
        <v>27</v>
      </c>
      <c r="H153" s="10"/>
      <c r="I153" s="10">
        <v>7003059892</v>
      </c>
      <c r="J153" s="13">
        <v>7003059892</v>
      </c>
      <c r="K153" s="10" t="s">
        <v>29</v>
      </c>
      <c r="L153" s="48" t="s">
        <v>706</v>
      </c>
      <c r="M153" s="15">
        <v>31899</v>
      </c>
      <c r="N153" s="15">
        <v>53843</v>
      </c>
      <c r="O153" s="36">
        <v>45958</v>
      </c>
      <c r="P153" s="17">
        <v>45187</v>
      </c>
      <c r="Q153" s="97">
        <v>46087</v>
      </c>
      <c r="R153" s="21" t="s">
        <v>785</v>
      </c>
      <c r="S153" s="21" t="s">
        <v>786</v>
      </c>
      <c r="T153" s="37"/>
      <c r="U153" s="37"/>
      <c r="V153" s="84"/>
      <c r="W153" s="23">
        <f t="shared" ca="1" si="37"/>
        <v>38</v>
      </c>
    </row>
    <row r="154" spans="1:23" ht="30">
      <c r="A154" s="144">
        <v>24</v>
      </c>
      <c r="B154" s="34" t="s">
        <v>787</v>
      </c>
      <c r="C154" s="25" t="s">
        <v>703</v>
      </c>
      <c r="D154" s="163" t="s">
        <v>788</v>
      </c>
      <c r="E154" s="166" t="s">
        <v>789</v>
      </c>
      <c r="F154" s="164" t="s">
        <v>26</v>
      </c>
      <c r="G154" s="10" t="s">
        <v>27</v>
      </c>
      <c r="H154" s="10"/>
      <c r="I154" s="10">
        <v>7003101716</v>
      </c>
      <c r="J154" s="10"/>
      <c r="K154" s="10" t="s">
        <v>29</v>
      </c>
      <c r="L154" s="48" t="s">
        <v>706</v>
      </c>
      <c r="M154" s="15">
        <v>32007</v>
      </c>
      <c r="N154" s="15">
        <v>53935</v>
      </c>
      <c r="O154" s="36">
        <v>45978</v>
      </c>
      <c r="P154" s="17">
        <v>45222</v>
      </c>
      <c r="Q154" s="97">
        <v>46087</v>
      </c>
      <c r="R154" s="21" t="s">
        <v>790</v>
      </c>
      <c r="S154" s="37"/>
      <c r="T154" s="37"/>
      <c r="U154" s="37"/>
      <c r="V154" s="84"/>
      <c r="W154" s="108">
        <f t="shared" ca="1" si="37"/>
        <v>38</v>
      </c>
    </row>
    <row r="155" spans="1:23" ht="30">
      <c r="A155" s="143">
        <v>25</v>
      </c>
      <c r="B155" s="34" t="s">
        <v>791</v>
      </c>
      <c r="C155" s="25" t="s">
        <v>703</v>
      </c>
      <c r="D155" s="165" t="s">
        <v>792</v>
      </c>
      <c r="E155" s="95" t="s">
        <v>793</v>
      </c>
      <c r="F155" s="61" t="s">
        <v>375</v>
      </c>
      <c r="G155" s="13" t="s">
        <v>27</v>
      </c>
      <c r="H155" s="10"/>
      <c r="I155" s="63">
        <v>9477430636</v>
      </c>
      <c r="J155" s="13">
        <v>9477430636</v>
      </c>
      <c r="K155" s="10" t="s">
        <v>29</v>
      </c>
      <c r="L155" s="48" t="s">
        <v>706</v>
      </c>
      <c r="M155" s="15">
        <v>33126</v>
      </c>
      <c r="N155" s="64">
        <v>55061</v>
      </c>
      <c r="O155" s="36">
        <v>46519</v>
      </c>
      <c r="P155" s="15">
        <v>46146</v>
      </c>
      <c r="Q155" s="97">
        <v>46087</v>
      </c>
      <c r="R155" s="21" t="s">
        <v>794</v>
      </c>
      <c r="S155" s="21" t="s">
        <v>795</v>
      </c>
      <c r="T155" s="37"/>
      <c r="U155" s="37"/>
      <c r="V155" s="37">
        <f t="shared" ref="V155:V157" si="38">LEN(D155)</f>
        <v>11</v>
      </c>
      <c r="W155" s="23">
        <f t="shared" ca="1" si="37"/>
        <v>35</v>
      </c>
    </row>
    <row r="156" spans="1:23" ht="45">
      <c r="A156" s="144">
        <v>26</v>
      </c>
      <c r="B156" s="34" t="s">
        <v>796</v>
      </c>
      <c r="C156" s="25" t="s">
        <v>703</v>
      </c>
      <c r="D156" s="165" t="s">
        <v>797</v>
      </c>
      <c r="E156" s="107" t="s">
        <v>798</v>
      </c>
      <c r="F156" s="120" t="s">
        <v>26</v>
      </c>
      <c r="G156" s="10" t="s">
        <v>27</v>
      </c>
      <c r="H156" s="10"/>
      <c r="I156" s="10">
        <v>9903721048</v>
      </c>
      <c r="J156" s="10"/>
      <c r="K156" s="10" t="s">
        <v>29</v>
      </c>
      <c r="L156" s="10" t="s">
        <v>706</v>
      </c>
      <c r="M156" s="15">
        <v>33564</v>
      </c>
      <c r="N156" s="15">
        <v>55487</v>
      </c>
      <c r="O156" s="36">
        <v>46536</v>
      </c>
      <c r="P156" s="15">
        <v>46074</v>
      </c>
      <c r="Q156" s="97">
        <v>45978</v>
      </c>
      <c r="R156" s="21" t="s">
        <v>799</v>
      </c>
      <c r="S156" s="37"/>
      <c r="T156" s="37"/>
      <c r="U156" s="37"/>
      <c r="V156" s="37">
        <f t="shared" si="38"/>
        <v>11</v>
      </c>
      <c r="W156" s="108">
        <f t="shared" ca="1" si="37"/>
        <v>34</v>
      </c>
    </row>
    <row r="157" spans="1:23" ht="30">
      <c r="A157" s="143">
        <v>27</v>
      </c>
      <c r="B157" s="34" t="s">
        <v>800</v>
      </c>
      <c r="C157" s="10" t="s">
        <v>762</v>
      </c>
      <c r="D157" s="165" t="s">
        <v>801</v>
      </c>
      <c r="E157" s="42" t="s">
        <v>802</v>
      </c>
      <c r="F157" s="25" t="s">
        <v>26</v>
      </c>
      <c r="G157" s="10" t="s">
        <v>89</v>
      </c>
      <c r="H157" s="10"/>
      <c r="I157" s="10">
        <v>8100671515</v>
      </c>
      <c r="J157" s="13">
        <v>8296943329</v>
      </c>
      <c r="K157" s="10" t="s">
        <v>29</v>
      </c>
      <c r="L157" s="33" t="s">
        <v>79</v>
      </c>
      <c r="M157" s="15">
        <v>34841</v>
      </c>
      <c r="N157" s="15">
        <v>56765</v>
      </c>
      <c r="O157" s="36">
        <v>46524</v>
      </c>
      <c r="P157" s="15">
        <v>46040</v>
      </c>
      <c r="Q157" s="97">
        <v>46004</v>
      </c>
      <c r="R157" s="21" t="s">
        <v>803</v>
      </c>
      <c r="S157" s="37"/>
      <c r="T157" s="37"/>
      <c r="U157" s="37"/>
      <c r="V157" s="28">
        <f t="shared" si="38"/>
        <v>11</v>
      </c>
      <c r="W157" s="28"/>
    </row>
    <row r="158" spans="1:23" ht="45">
      <c r="A158" s="144">
        <v>28</v>
      </c>
      <c r="B158" s="34" t="s">
        <v>804</v>
      </c>
      <c r="C158" s="10" t="s">
        <v>703</v>
      </c>
      <c r="D158" s="165" t="s">
        <v>805</v>
      </c>
      <c r="E158" s="12" t="s">
        <v>806</v>
      </c>
      <c r="F158" s="120" t="s">
        <v>26</v>
      </c>
      <c r="G158" s="10" t="s">
        <v>27</v>
      </c>
      <c r="H158" s="10"/>
      <c r="I158" s="10">
        <v>8478929721</v>
      </c>
      <c r="J158" s="10"/>
      <c r="K158" s="10" t="s">
        <v>29</v>
      </c>
      <c r="L158" s="10" t="s">
        <v>706</v>
      </c>
      <c r="M158" s="15">
        <v>34970</v>
      </c>
      <c r="N158" s="15">
        <v>56887</v>
      </c>
      <c r="O158" s="36">
        <v>46517</v>
      </c>
      <c r="P158" s="15">
        <v>45996</v>
      </c>
      <c r="Q158" s="97">
        <v>45886</v>
      </c>
      <c r="R158" s="43" t="s">
        <v>807</v>
      </c>
      <c r="S158" s="167"/>
      <c r="T158" s="43" t="s">
        <v>808</v>
      </c>
      <c r="U158" s="167"/>
      <c r="V158" s="110"/>
      <c r="W158" s="23">
        <f ca="1">INT((TODAY()-M158)/365)</f>
        <v>30</v>
      </c>
    </row>
    <row r="159" spans="1:23" ht="45.75">
      <c r="A159" s="143">
        <v>29</v>
      </c>
      <c r="B159" s="99" t="s">
        <v>809</v>
      </c>
      <c r="C159" s="76" t="s">
        <v>703</v>
      </c>
      <c r="D159" s="168" t="s">
        <v>810</v>
      </c>
      <c r="E159" s="169" t="s">
        <v>811</v>
      </c>
      <c r="F159" s="114" t="s">
        <v>26</v>
      </c>
      <c r="G159" s="83" t="s">
        <v>89</v>
      </c>
      <c r="H159" s="12"/>
      <c r="I159" s="12">
        <v>9681150458</v>
      </c>
      <c r="J159" s="95">
        <v>9681150458</v>
      </c>
      <c r="K159" s="10" t="s">
        <v>29</v>
      </c>
      <c r="L159" s="10" t="s">
        <v>706</v>
      </c>
      <c r="M159" s="17">
        <v>30263</v>
      </c>
      <c r="N159" s="17">
        <v>52200</v>
      </c>
      <c r="O159" s="17">
        <v>45185</v>
      </c>
      <c r="P159" s="17"/>
      <c r="Q159" s="18">
        <v>45188</v>
      </c>
      <c r="R159" s="84"/>
      <c r="S159" s="21" t="s">
        <v>812</v>
      </c>
      <c r="T159" s="84"/>
      <c r="U159" s="84"/>
      <c r="V159" s="84"/>
      <c r="W159" s="25"/>
    </row>
    <row r="160" spans="1:23" ht="45">
      <c r="A160" s="144">
        <v>30</v>
      </c>
      <c r="B160" s="9" t="s">
        <v>813</v>
      </c>
      <c r="C160" s="10" t="s">
        <v>762</v>
      </c>
      <c r="D160" s="165" t="s">
        <v>814</v>
      </c>
      <c r="E160" s="107" t="s">
        <v>815</v>
      </c>
      <c r="F160" s="120" t="s">
        <v>26</v>
      </c>
      <c r="G160" s="10" t="s">
        <v>89</v>
      </c>
      <c r="H160" s="10"/>
      <c r="I160" s="10">
        <v>9748746263</v>
      </c>
      <c r="J160" s="10">
        <v>9748746263</v>
      </c>
      <c r="K160" s="10" t="s">
        <v>29</v>
      </c>
      <c r="L160" s="10" t="s">
        <v>706</v>
      </c>
      <c r="M160" s="15">
        <v>33096</v>
      </c>
      <c r="N160" s="15">
        <v>55031</v>
      </c>
      <c r="O160" s="36">
        <v>45147</v>
      </c>
      <c r="P160" s="15">
        <v>45875</v>
      </c>
      <c r="Q160" s="97">
        <v>45980</v>
      </c>
      <c r="R160" s="21" t="s">
        <v>816</v>
      </c>
      <c r="S160" s="21" t="s">
        <v>817</v>
      </c>
      <c r="T160" s="37"/>
      <c r="U160" s="37"/>
      <c r="V160" s="37">
        <f t="shared" ref="V160:V161" si="39">LEN(D160)</f>
        <v>11</v>
      </c>
      <c r="W160" s="108">
        <f t="shared" ref="W160:W162" ca="1" si="40">INT((TODAY()-M160)/365)</f>
        <v>35</v>
      </c>
    </row>
    <row r="161" spans="1:23" ht="45">
      <c r="A161" s="143">
        <v>31</v>
      </c>
      <c r="B161" s="170" t="s">
        <v>818</v>
      </c>
      <c r="C161" s="76" t="s">
        <v>703</v>
      </c>
      <c r="D161" s="146" t="s">
        <v>819</v>
      </c>
      <c r="E161" s="171" t="s">
        <v>820</v>
      </c>
      <c r="F161" s="172" t="s">
        <v>26</v>
      </c>
      <c r="G161" s="173" t="s">
        <v>89</v>
      </c>
      <c r="H161" s="173"/>
      <c r="I161" s="173">
        <v>7044945856</v>
      </c>
      <c r="J161" s="174">
        <v>7044945856</v>
      </c>
      <c r="K161" s="10" t="s">
        <v>29</v>
      </c>
      <c r="L161" s="10" t="s">
        <v>706</v>
      </c>
      <c r="M161" s="126">
        <v>33156</v>
      </c>
      <c r="N161" s="126">
        <v>55092</v>
      </c>
      <c r="O161" s="175">
        <v>45112</v>
      </c>
      <c r="P161" s="126">
        <v>46150</v>
      </c>
      <c r="Q161" s="176">
        <v>45980</v>
      </c>
      <c r="R161" s="177" t="s">
        <v>821</v>
      </c>
      <c r="S161" s="178"/>
      <c r="T161" s="178"/>
      <c r="U161" s="178"/>
      <c r="V161" s="178">
        <f t="shared" si="39"/>
        <v>11</v>
      </c>
      <c r="W161" s="23">
        <f t="shared" ca="1" si="40"/>
        <v>35</v>
      </c>
    </row>
    <row r="162" spans="1:23" ht="30">
      <c r="A162" s="179">
        <v>65</v>
      </c>
      <c r="B162" s="180" t="s">
        <v>822</v>
      </c>
      <c r="C162" s="181" t="s">
        <v>703</v>
      </c>
      <c r="D162" s="182" t="s">
        <v>823</v>
      </c>
      <c r="E162" s="183" t="s">
        <v>824</v>
      </c>
      <c r="F162" s="120" t="s">
        <v>26</v>
      </c>
      <c r="G162" s="25" t="s">
        <v>27</v>
      </c>
      <c r="H162" s="10"/>
      <c r="I162" s="33">
        <v>919123928400</v>
      </c>
      <c r="J162" s="25"/>
      <c r="K162" s="10" t="s">
        <v>29</v>
      </c>
      <c r="L162" s="62" t="s">
        <v>238</v>
      </c>
      <c r="M162" s="16">
        <v>33576</v>
      </c>
      <c r="N162" s="16">
        <v>55518</v>
      </c>
      <c r="O162" s="184">
        <v>46159</v>
      </c>
      <c r="P162" s="15">
        <v>45566</v>
      </c>
      <c r="Q162" s="16">
        <v>45605</v>
      </c>
      <c r="R162" s="21" t="s">
        <v>825</v>
      </c>
      <c r="S162" s="21" t="s">
        <v>826</v>
      </c>
      <c r="T162" s="37"/>
      <c r="U162" s="37"/>
      <c r="V162" s="37"/>
      <c r="W162" s="108">
        <f t="shared" ca="1" si="40"/>
        <v>34</v>
      </c>
    </row>
    <row r="163" spans="1:23" ht="45">
      <c r="A163" s="179">
        <v>23</v>
      </c>
      <c r="B163" s="180" t="s">
        <v>827</v>
      </c>
      <c r="C163" s="25" t="s">
        <v>703</v>
      </c>
      <c r="D163" s="182" t="s">
        <v>828</v>
      </c>
      <c r="E163" s="183" t="s">
        <v>829</v>
      </c>
      <c r="F163" s="120" t="s">
        <v>26</v>
      </c>
      <c r="G163" s="25" t="s">
        <v>89</v>
      </c>
      <c r="H163" s="10"/>
      <c r="I163" s="33">
        <v>919836893003</v>
      </c>
      <c r="J163" s="25"/>
      <c r="K163" s="10" t="s">
        <v>29</v>
      </c>
      <c r="L163" s="10" t="s">
        <v>478</v>
      </c>
      <c r="M163" s="16">
        <v>34174</v>
      </c>
      <c r="N163" s="16">
        <v>56096</v>
      </c>
      <c r="O163" s="184">
        <v>46159</v>
      </c>
      <c r="P163" s="15">
        <v>45566</v>
      </c>
      <c r="Q163" s="16">
        <v>45605</v>
      </c>
      <c r="R163" s="21" t="s">
        <v>830</v>
      </c>
      <c r="S163" s="21" t="s">
        <v>831</v>
      </c>
      <c r="T163" s="37"/>
      <c r="U163" s="37"/>
      <c r="V163" s="37"/>
      <c r="W163" s="108"/>
    </row>
  </sheetData>
  <conditionalFormatting sqref="F163">
    <cfRule type="containsText" dxfId="461" priority="231" operator="containsText" text="F">
      <formula>NOT(ISERROR(SEARCH(("F"),(F163))))</formula>
    </cfRule>
  </conditionalFormatting>
  <conditionalFormatting sqref="Q163">
    <cfRule type="expression" dxfId="459" priority="230">
      <formula>AND(ISNUMBER(Q163),TRUNC(Q163)&lt;TODAY())</formula>
    </cfRule>
  </conditionalFormatting>
  <conditionalFormatting sqref="P163">
    <cfRule type="expression" dxfId="457" priority="229">
      <formula>AND(ISNUMBER(P163),TRUNC(P163)&lt;TODAY())</formula>
    </cfRule>
  </conditionalFormatting>
  <conditionalFormatting sqref="O163">
    <cfRule type="expression" dxfId="455" priority="228">
      <formula>AND(ISNUMBER(O163),TRUNC(O163)&lt;TODAY())</formula>
    </cfRule>
  </conditionalFormatting>
  <conditionalFormatting sqref="O162:Q162">
    <cfRule type="expression" dxfId="453" priority="227">
      <formula>AND(ISNUMBER(O162),TRUNC(O162)&lt;TODAY())</formula>
    </cfRule>
  </conditionalFormatting>
  <conditionalFormatting sqref="P162">
    <cfRule type="expression" dxfId="451" priority="226">
      <formula>AND(ISNUMBER(P162),TRUNC(P162)&lt;TODAY())</formula>
    </cfRule>
  </conditionalFormatting>
  <conditionalFormatting sqref="F162">
    <cfRule type="containsText" dxfId="449" priority="225" operator="containsText" text="F">
      <formula>NOT(ISERROR(SEARCH(("F"),(F162))))</formula>
    </cfRule>
  </conditionalFormatting>
  <conditionalFormatting sqref="F134">
    <cfRule type="containsText" dxfId="447" priority="224" operator="containsText" text="F">
      <formula>NOT(ISERROR(SEARCH(("F"),(F134))))</formula>
    </cfRule>
  </conditionalFormatting>
  <conditionalFormatting sqref="O134:Q134">
    <cfRule type="expression" dxfId="445" priority="223">
      <formula>AND(ISNUMBER(O134),TRUNC(O134)&lt;TODAY())</formula>
    </cfRule>
  </conditionalFormatting>
  <conditionalFormatting sqref="O133:Q133">
    <cfRule type="expression" dxfId="443" priority="222">
      <formula>AND(ISNUMBER(O133),TRUNC(O133)&lt;TODAY())</formula>
    </cfRule>
  </conditionalFormatting>
  <conditionalFormatting sqref="F133">
    <cfRule type="containsText" dxfId="441" priority="221" operator="containsText" text="F">
      <formula>NOT(ISERROR(SEARCH(("F"),(F133))))</formula>
    </cfRule>
  </conditionalFormatting>
  <conditionalFormatting sqref="F132">
    <cfRule type="containsText" dxfId="439" priority="220" operator="containsText" text="F">
      <formula>NOT(ISERROR(SEARCH(("F"),(F132))))</formula>
    </cfRule>
  </conditionalFormatting>
  <conditionalFormatting sqref="O132">
    <cfRule type="expression" dxfId="437" priority="219">
      <formula>AND(ISNUMBER(O132),TRUNC(O132)&lt;TODAY())</formula>
    </cfRule>
  </conditionalFormatting>
  <conditionalFormatting sqref="P132">
    <cfRule type="expression" dxfId="435" priority="218">
      <formula>AND(ISNUMBER(P132),TRUNC(P132)&lt;TODAY())</formula>
    </cfRule>
  </conditionalFormatting>
  <conditionalFormatting sqref="Q132">
    <cfRule type="expression" dxfId="433" priority="217">
      <formula>AND(ISNUMBER(Q132),TRUNC(Q132)&lt;TODAY())</formula>
    </cfRule>
  </conditionalFormatting>
  <conditionalFormatting sqref="Q131">
    <cfRule type="expression" dxfId="431" priority="216">
      <formula>AND(ISNUMBER(Q131),TRUNC(Q131)&lt;TODAY())</formula>
    </cfRule>
  </conditionalFormatting>
  <conditionalFormatting sqref="P131">
    <cfRule type="expression" dxfId="429" priority="215">
      <formula>AND(ISNUMBER(P131),TRUNC(P131)&lt;TODAY())</formula>
    </cfRule>
  </conditionalFormatting>
  <conditionalFormatting sqref="O131">
    <cfRule type="expression" dxfId="427" priority="214">
      <formula>AND(ISNUMBER(O131),TRUNC(O131)&lt;TODAY())</formula>
    </cfRule>
  </conditionalFormatting>
  <conditionalFormatting sqref="O130">
    <cfRule type="expression" dxfId="425" priority="213">
      <formula>AND(ISNUMBER(O130),TRUNC(O130)&lt;TODAY())</formula>
    </cfRule>
  </conditionalFormatting>
  <conditionalFormatting sqref="P130">
    <cfRule type="expression" dxfId="423" priority="212">
      <formula>AND(ISNUMBER(P130),TRUNC(P130)&lt;TODAY())</formula>
    </cfRule>
  </conditionalFormatting>
  <conditionalFormatting sqref="Q130">
    <cfRule type="expression" dxfId="421" priority="211">
      <formula>AND(ISNUMBER(Q130),TRUNC(Q130)&lt;TODAY())</formula>
    </cfRule>
  </conditionalFormatting>
  <conditionalFormatting sqref="F131">
    <cfRule type="containsText" dxfId="419" priority="210" operator="containsText" text="F">
      <formula>NOT(ISERROR(SEARCH(("F"),(F131))))</formula>
    </cfRule>
  </conditionalFormatting>
  <conditionalFormatting sqref="F130">
    <cfRule type="containsText" dxfId="417" priority="209" operator="containsText" text="F">
      <formula>NOT(ISERROR(SEARCH(("F"),(F130))))</formula>
    </cfRule>
  </conditionalFormatting>
  <conditionalFormatting sqref="F129">
    <cfRule type="containsText" dxfId="415" priority="208" operator="containsText" text="F">
      <formula>NOT(ISERROR(SEARCH(("F"),(F129))))</formula>
    </cfRule>
  </conditionalFormatting>
  <conditionalFormatting sqref="O129:Q129">
    <cfRule type="expression" dxfId="413" priority="207">
      <formula>AND(ISNUMBER(O129),TRUNC(O129)&lt;TODAY())</formula>
    </cfRule>
  </conditionalFormatting>
  <conditionalFormatting sqref="Q128">
    <cfRule type="expression" dxfId="411" priority="206">
      <formula>AND(ISNUMBER(Q128),TRUNC(Q128)&lt;TODAY())</formula>
    </cfRule>
  </conditionalFormatting>
  <conditionalFormatting sqref="O128">
    <cfRule type="expression" dxfId="409" priority="205">
      <formula>AND(ISNUMBER(O128),TRUNC(O128)&lt;TODAY())</formula>
    </cfRule>
  </conditionalFormatting>
  <conditionalFormatting sqref="P128">
    <cfRule type="expression" dxfId="407" priority="204">
      <formula>AND(ISNUMBER(P128),TRUNC(P128)&lt;TODAY())</formula>
    </cfRule>
  </conditionalFormatting>
  <conditionalFormatting sqref="F128">
    <cfRule type="containsText" dxfId="405" priority="203" operator="containsText" text="F">
      <formula>NOT(ISERROR(SEARCH(("F"),(F128))))</formula>
    </cfRule>
  </conditionalFormatting>
  <conditionalFormatting sqref="F127">
    <cfRule type="containsText" dxfId="403" priority="202" operator="containsText" text="F">
      <formula>NOT(ISERROR(SEARCH(("F"),(F127))))</formula>
    </cfRule>
  </conditionalFormatting>
  <conditionalFormatting sqref="O127:Q127">
    <cfRule type="expression" dxfId="401" priority="201">
      <formula>AND(ISNUMBER(O127),TRUNC(O127)&lt;TODAY())</formula>
    </cfRule>
  </conditionalFormatting>
  <conditionalFormatting sqref="F126">
    <cfRule type="containsText" dxfId="399" priority="200" operator="containsText" text="F">
      <formula>NOT(ISERROR(SEARCH(("F"),(F126))))</formula>
    </cfRule>
  </conditionalFormatting>
  <conditionalFormatting sqref="O126:Q126">
    <cfRule type="expression" dxfId="397" priority="199">
      <formula>AND(ISNUMBER(O126),TRUNC(O126)&lt;TODAY())</formula>
    </cfRule>
  </conditionalFormatting>
  <conditionalFormatting sqref="O125:Q125">
    <cfRule type="expression" dxfId="395" priority="198">
      <formula>AND(ISNUMBER(O125),TRUNC(O125)&lt;TODAY())</formula>
    </cfRule>
  </conditionalFormatting>
  <conditionalFormatting sqref="F125">
    <cfRule type="containsText" dxfId="393" priority="197" operator="containsText" text="F">
      <formula>NOT(ISERROR(SEARCH(("F"),(F125))))</formula>
    </cfRule>
  </conditionalFormatting>
  <conditionalFormatting sqref="F124">
    <cfRule type="containsText" dxfId="391" priority="196" operator="containsText" text="F">
      <formula>NOT(ISERROR(SEARCH(("F"),(F124))))</formula>
    </cfRule>
  </conditionalFormatting>
  <conditionalFormatting sqref="O124:Q124">
    <cfRule type="expression" dxfId="389" priority="195">
      <formula>AND(ISNUMBER(O124),TRUNC(O124)&lt;TODAY())</formula>
    </cfRule>
  </conditionalFormatting>
  <conditionalFormatting sqref="F123">
    <cfRule type="containsText" dxfId="387" priority="194" operator="containsText" text="F">
      <formula>NOT(ISERROR(SEARCH(("F"),(F123))))</formula>
    </cfRule>
  </conditionalFormatting>
  <conditionalFormatting sqref="O123:Q123">
    <cfRule type="expression" dxfId="385" priority="193">
      <formula>AND(ISNUMBER(O123),TRUNC(O123)&lt;TODAY())</formula>
    </cfRule>
  </conditionalFormatting>
  <conditionalFormatting sqref="O122:Q122">
    <cfRule type="expression" dxfId="383" priority="192">
      <formula>AND(ISNUMBER(O122),TRUNC(O122)&lt;TODAY())</formula>
    </cfRule>
  </conditionalFormatting>
  <conditionalFormatting sqref="F122">
    <cfRule type="containsText" dxfId="381" priority="191" operator="containsText" text="F">
      <formula>NOT(ISERROR(SEARCH(("F"),(F122))))</formula>
    </cfRule>
  </conditionalFormatting>
  <conditionalFormatting sqref="O121:Q121">
    <cfRule type="expression" dxfId="379" priority="190">
      <formula>AND(ISNUMBER(O121),TRUNC(O121)&lt;TODAY())</formula>
    </cfRule>
  </conditionalFormatting>
  <conditionalFormatting sqref="F121">
    <cfRule type="containsText" dxfId="377" priority="189" operator="containsText" text="F">
      <formula>NOT(ISERROR(SEARCH(("F"),(F121))))</formula>
    </cfRule>
  </conditionalFormatting>
  <conditionalFormatting sqref="O120:Q120">
    <cfRule type="expression" dxfId="375" priority="188">
      <formula>AND(ISNUMBER(O120),TRUNC(O120)&lt;TODAY())</formula>
    </cfRule>
  </conditionalFormatting>
  <conditionalFormatting sqref="F120">
    <cfRule type="containsText" dxfId="373" priority="187" operator="containsText" text="F">
      <formula>NOT(ISERROR(SEARCH(("F"),(F120))))</formula>
    </cfRule>
  </conditionalFormatting>
  <conditionalFormatting sqref="O119:Q119">
    <cfRule type="expression" dxfId="371" priority="186">
      <formula>AND(ISNUMBER(O119),TRUNC(O119)&lt;TODAY())</formula>
    </cfRule>
  </conditionalFormatting>
  <conditionalFormatting sqref="F119">
    <cfRule type="containsText" dxfId="369" priority="185" operator="containsText" text="F">
      <formula>NOT(ISERROR(SEARCH(("F"),(F119))))</formula>
    </cfRule>
  </conditionalFormatting>
  <conditionalFormatting sqref="F118">
    <cfRule type="containsText" dxfId="367" priority="184" operator="containsText" text="F">
      <formula>NOT(ISERROR(SEARCH(("F"),(F118))))</formula>
    </cfRule>
  </conditionalFormatting>
  <conditionalFormatting sqref="O118:Q118">
    <cfRule type="expression" dxfId="365" priority="183">
      <formula>AND(ISNUMBER(O118),TRUNC(O118)&lt;TODAY())</formula>
    </cfRule>
  </conditionalFormatting>
  <conditionalFormatting sqref="P118">
    <cfRule type="expression" dxfId="363" priority="182">
      <formula>AND(ISNUMBER(P118),TRUNC(P118)&lt;TODAY())</formula>
    </cfRule>
  </conditionalFormatting>
  <conditionalFormatting sqref="F117">
    <cfRule type="containsText" dxfId="361" priority="181" operator="containsText" text="F">
      <formula>NOT(ISERROR(SEARCH(("F"),(F117))))</formula>
    </cfRule>
  </conditionalFormatting>
  <conditionalFormatting sqref="O117:Q117">
    <cfRule type="expression" dxfId="359" priority="180">
      <formula>AND(ISNUMBER(O117),TRUNC(O117)&lt;TODAY())</formula>
    </cfRule>
  </conditionalFormatting>
  <conditionalFormatting sqref="F116">
    <cfRule type="containsText" dxfId="357" priority="179" operator="containsText" text="F">
      <formula>NOT(ISERROR(SEARCH(("F"),(F116))))</formula>
    </cfRule>
  </conditionalFormatting>
  <conditionalFormatting sqref="O116:Q116">
    <cfRule type="expression" dxfId="355" priority="178">
      <formula>AND(ISNUMBER(O116),TRUNC(O116)&lt;TODAY())</formula>
    </cfRule>
  </conditionalFormatting>
  <conditionalFormatting sqref="O40:Q40">
    <cfRule type="expression" dxfId="353" priority="177">
      <formula>AND(ISNUMBER(O40),TRUNC(O40)&lt;TODAY())</formula>
    </cfRule>
  </conditionalFormatting>
  <conditionalFormatting sqref="P40">
    <cfRule type="expression" dxfId="351" priority="176">
      <formula>AND(ISNUMBER(P40),TRUNC(P40)&lt;TODAY())</formula>
    </cfRule>
  </conditionalFormatting>
  <conditionalFormatting sqref="O115:Q115">
    <cfRule type="expression" dxfId="349" priority="175">
      <formula>AND(ISNUMBER(O115),TRUNC(O115)&lt;TODAY())</formula>
    </cfRule>
  </conditionalFormatting>
  <conditionalFormatting sqref="F114">
    <cfRule type="containsText" dxfId="347" priority="174" operator="containsText" text="F">
      <formula>NOT(ISERROR(SEARCH(("F"),(F114))))</formula>
    </cfRule>
  </conditionalFormatting>
  <conditionalFormatting sqref="P114">
    <cfRule type="expression" dxfId="345" priority="173">
      <formula>AND(ISNUMBER(P114),TRUNC(P114)&lt;TODAY())</formula>
    </cfRule>
  </conditionalFormatting>
  <conditionalFormatting sqref="P114">
    <cfRule type="expression" dxfId="343" priority="172">
      <formula>AND(ISNUMBER(P114),TRUNC(P114)&lt;TODAY())</formula>
    </cfRule>
  </conditionalFormatting>
  <conditionalFormatting sqref="O114">
    <cfRule type="expression" dxfId="341" priority="171">
      <formula>AND(ISNUMBER(O114),TRUNC(O114)&lt;TODAY())</formula>
    </cfRule>
  </conditionalFormatting>
  <conditionalFormatting sqref="Q114">
    <cfRule type="expression" dxfId="339" priority="170">
      <formula>AND(ISNUMBER(Q114),TRUNC(Q114)&lt;TODAY())</formula>
    </cfRule>
  </conditionalFormatting>
  <conditionalFormatting sqref="F113">
    <cfRule type="containsText" dxfId="337" priority="169" operator="containsText" text="F">
      <formula>NOT(ISERROR(SEARCH(("F"),(F113))))</formula>
    </cfRule>
  </conditionalFormatting>
  <conditionalFormatting sqref="O113">
    <cfRule type="expression" dxfId="335" priority="168">
      <formula>AND(ISNUMBER(O113),TRUNC(O113)&lt;TODAY())</formula>
    </cfRule>
  </conditionalFormatting>
  <conditionalFormatting sqref="P113">
    <cfRule type="expression" dxfId="333" priority="167">
      <formula>AND(ISNUMBER(P113),TRUNC(P113)&lt;TODAY())</formula>
    </cfRule>
  </conditionalFormatting>
  <conditionalFormatting sqref="Q113">
    <cfRule type="expression" dxfId="331" priority="166">
      <formula>AND(ISNUMBER(Q113),TRUNC(Q113)&lt;TODAY())</formula>
    </cfRule>
  </conditionalFormatting>
  <conditionalFormatting sqref="O112:Q112">
    <cfRule type="expression" dxfId="329" priority="165">
      <formula>AND(ISNUMBER(O112),TRUNC(O112)&lt;TODAY())</formula>
    </cfRule>
  </conditionalFormatting>
  <conditionalFormatting sqref="F112">
    <cfRule type="containsText" dxfId="327" priority="164" operator="containsText" text="F">
      <formula>NOT(ISERROR(SEARCH(("F"),(F112))))</formula>
    </cfRule>
  </conditionalFormatting>
  <conditionalFormatting sqref="O111">
    <cfRule type="expression" dxfId="325" priority="163">
      <formula>AND(ISNUMBER(O111),TRUNC(O111)&lt;TODAY())</formula>
    </cfRule>
  </conditionalFormatting>
  <conditionalFormatting sqref="P111">
    <cfRule type="expression" dxfId="323" priority="162">
      <formula>AND(ISNUMBER(P111),TRUNC(P111)&lt;TODAY())</formula>
    </cfRule>
  </conditionalFormatting>
  <conditionalFormatting sqref="Q111">
    <cfRule type="expression" dxfId="321" priority="161">
      <formula>AND(ISNUMBER(Q111),TRUNC(Q111)&lt;TODAY())</formula>
    </cfRule>
  </conditionalFormatting>
  <conditionalFormatting sqref="Q111">
    <cfRule type="expression" dxfId="319" priority="160">
      <formula>AND(ISNUMBER(Q111),TRUNC(Q111)&lt;TODAY())</formula>
    </cfRule>
  </conditionalFormatting>
  <conditionalFormatting sqref="V111">
    <cfRule type="notContainsBlanks" dxfId="317" priority="159">
      <formula>LEN(TRIM(V111))&gt;0</formula>
    </cfRule>
  </conditionalFormatting>
  <conditionalFormatting sqref="F111">
    <cfRule type="containsText" dxfId="315" priority="158" operator="containsText" text="F">
      <formula>NOT(ISERROR(SEARCH(("F"),(F111))))</formula>
    </cfRule>
  </conditionalFormatting>
  <conditionalFormatting sqref="O110:Q110">
    <cfRule type="expression" dxfId="313" priority="157">
      <formula>AND(ISNUMBER(O110),TRUNC(O110)&lt;TODAY())</formula>
    </cfRule>
  </conditionalFormatting>
  <conditionalFormatting sqref="F110">
    <cfRule type="containsText" dxfId="311" priority="156" operator="containsText" text="F">
      <formula>NOT(ISERROR(SEARCH(("F"),(F110))))</formula>
    </cfRule>
  </conditionalFormatting>
  <conditionalFormatting sqref="F109">
    <cfRule type="containsText" dxfId="309" priority="155" operator="containsText" text="F">
      <formula>NOT(ISERROR(SEARCH(("F"),(F109))))</formula>
    </cfRule>
  </conditionalFormatting>
  <conditionalFormatting sqref="O109:Q109">
    <cfRule type="expression" dxfId="307" priority="154">
      <formula>AND(ISNUMBER(O109),TRUNC(O109)&lt;TODAY())</formula>
    </cfRule>
  </conditionalFormatting>
  <conditionalFormatting sqref="O161:Q161">
    <cfRule type="expression" dxfId="305" priority="153">
      <formula>AND(ISNUMBER(O161),TRUNC(O161)&lt;TODAY())</formula>
    </cfRule>
  </conditionalFormatting>
  <conditionalFormatting sqref="F161">
    <cfRule type="containsText" dxfId="303" priority="152" operator="containsText" text="F">
      <formula>NOT(ISERROR(SEARCH(("F"),(F161))))</formula>
    </cfRule>
  </conditionalFormatting>
  <conditionalFormatting sqref="O108:Q108">
    <cfRule type="expression" dxfId="301" priority="151">
      <formula>AND(ISNUMBER(O108),TRUNC(O108)&lt;TODAY())</formula>
    </cfRule>
  </conditionalFormatting>
  <conditionalFormatting sqref="F108">
    <cfRule type="containsText" dxfId="299" priority="150" operator="containsText" text="F">
      <formula>NOT(ISERROR(SEARCH(("F"),(F108))))</formula>
    </cfRule>
  </conditionalFormatting>
  <conditionalFormatting sqref="O107:Q107">
    <cfRule type="expression" dxfId="297" priority="149">
      <formula>AND(ISNUMBER(O107),TRUNC(O107)&lt;TODAY())</formula>
    </cfRule>
  </conditionalFormatting>
  <conditionalFormatting sqref="F107">
    <cfRule type="containsText" dxfId="295" priority="148" operator="containsText" text="F">
      <formula>NOT(ISERROR(SEARCH(("F"),(F107))))</formula>
    </cfRule>
  </conditionalFormatting>
  <conditionalFormatting sqref="F106">
    <cfRule type="containsText" dxfId="293" priority="147" operator="containsText" text="F">
      <formula>NOT(ISERROR(SEARCH(("F"),(F106))))</formula>
    </cfRule>
  </conditionalFormatting>
  <conditionalFormatting sqref="O106:Q106">
    <cfRule type="expression" dxfId="291" priority="146">
      <formula>AND(ISNUMBER(O106),TRUNC(O106)&lt;TODAY())</formula>
    </cfRule>
  </conditionalFormatting>
  <conditionalFormatting sqref="O160">
    <cfRule type="expression" dxfId="289" priority="145">
      <formula>AND(ISNUMBER(O160),TRUNC(O160)&lt;TODAY())</formula>
    </cfRule>
  </conditionalFormatting>
  <conditionalFormatting sqref="Q160">
    <cfRule type="expression" dxfId="287" priority="144">
      <formula>AND(ISNUMBER(Q160),TRUNC(Q160)&lt;TODAY())</formula>
    </cfRule>
  </conditionalFormatting>
  <conditionalFormatting sqref="P160">
    <cfRule type="expression" dxfId="285" priority="143">
      <formula>AND(ISNUMBER(P160),TRUNC(P160)&lt;TODAY())</formula>
    </cfRule>
  </conditionalFormatting>
  <conditionalFormatting sqref="F160">
    <cfRule type="containsText" dxfId="283" priority="142" operator="containsText" text="F">
      <formula>NOT(ISERROR(SEARCH(("F"),(F160))))</formula>
    </cfRule>
  </conditionalFormatting>
  <conditionalFormatting sqref="O159">
    <cfRule type="expression" dxfId="281" priority="141">
      <formula>AND(ISNUMBER(O159),TRUNC(O159)&lt;TODAY())</formula>
    </cfRule>
  </conditionalFormatting>
  <conditionalFormatting sqref="P159">
    <cfRule type="expression" dxfId="279" priority="140">
      <formula>P159&lt;44165</formula>
    </cfRule>
  </conditionalFormatting>
  <conditionalFormatting sqref="P159">
    <cfRule type="expression" dxfId="277" priority="139">
      <formula>AND(ISNUMBER(P159),TRUNC(P159)&lt;TODAY())</formula>
    </cfRule>
  </conditionalFormatting>
  <conditionalFormatting sqref="V159">
    <cfRule type="notContainsBlanks" dxfId="275" priority="138">
      <formula>LEN(TRIM(V159))&gt;0</formula>
    </cfRule>
  </conditionalFormatting>
  <conditionalFormatting sqref="Q159">
    <cfRule type="expression" dxfId="273" priority="137">
      <formula>AND(ISNUMBER(Q159),TRUNC(Q159)&lt;TODAY())</formula>
    </cfRule>
  </conditionalFormatting>
  <conditionalFormatting sqref="F159">
    <cfRule type="containsText" dxfId="271" priority="136" operator="containsText" text="F">
      <formula>NOT(ISERROR(SEARCH(("F"),(F159))))</formula>
    </cfRule>
  </conditionalFormatting>
  <conditionalFormatting sqref="F105">
    <cfRule type="containsText" dxfId="269" priority="135" operator="containsText" text="F">
      <formula>NOT(ISERROR(SEARCH(("F"),(F105))))</formula>
    </cfRule>
  </conditionalFormatting>
  <conditionalFormatting sqref="O105:Q105">
    <cfRule type="expression" dxfId="267" priority="134">
      <formula>AND(ISNUMBER(O105),TRUNC(O105)&lt;TODAY())</formula>
    </cfRule>
  </conditionalFormatting>
  <conditionalFormatting sqref="F158">
    <cfRule type="containsText" dxfId="265" priority="133" operator="containsText" text="F">
      <formula>NOT(ISERROR(SEARCH(("F"),(F158))))</formula>
    </cfRule>
  </conditionalFormatting>
  <conditionalFormatting sqref="O158:Q158">
    <cfRule type="expression" dxfId="263" priority="132">
      <formula>AND(ISNUMBER(O158),TRUNC(O158)&lt;TODAY())</formula>
    </cfRule>
  </conditionalFormatting>
  <conditionalFormatting sqref="O104:Q104">
    <cfRule type="expression" dxfId="261" priority="131">
      <formula>AND(ISNUMBER(O104),TRUNC(O104)&lt;TODAY())</formula>
    </cfRule>
  </conditionalFormatting>
  <conditionalFormatting sqref="F104">
    <cfRule type="containsText" dxfId="259" priority="130" operator="containsText" text="F">
      <formula>NOT(ISERROR(SEARCH(("F"),(F104))))</formula>
    </cfRule>
  </conditionalFormatting>
  <conditionalFormatting sqref="F103">
    <cfRule type="containsText" dxfId="257" priority="129" operator="containsText" text="F">
      <formula>NOT(ISERROR(SEARCH(("F"),(F103))))</formula>
    </cfRule>
  </conditionalFormatting>
  <conditionalFormatting sqref="P103">
    <cfRule type="expression" dxfId="255" priority="128">
      <formula>AND(ISNUMBER(P103),TRUNC(P103)&lt;TODAY())</formula>
    </cfRule>
  </conditionalFormatting>
  <conditionalFormatting sqref="O103">
    <cfRule type="expression" dxfId="253" priority="127">
      <formula>AND(ISNUMBER(O103),TRUNC(O103)&lt;TODAY())</formula>
    </cfRule>
  </conditionalFormatting>
  <conditionalFormatting sqref="Q103">
    <cfRule type="expression" dxfId="251" priority="126">
      <formula>AND(ISNUMBER(Q103),TRUNC(Q103)&lt;TODAY())</formula>
    </cfRule>
  </conditionalFormatting>
  <conditionalFormatting sqref="F157">
    <cfRule type="containsText" dxfId="249" priority="125" operator="containsText" text="F">
      <formula>NOT(ISERROR(SEARCH(("F"),(F157))))</formula>
    </cfRule>
  </conditionalFormatting>
  <conditionalFormatting sqref="Q157">
    <cfRule type="expression" dxfId="247" priority="124">
      <formula>AND(ISNUMBER(Q157),TRUNC(Q157)&lt;TODAY())</formula>
    </cfRule>
  </conditionalFormatting>
  <conditionalFormatting sqref="O157">
    <cfRule type="expression" dxfId="245" priority="123">
      <formula>AND(ISNUMBER(O157),TRUNC(O157)&lt;TODAY())</formula>
    </cfRule>
  </conditionalFormatting>
  <conditionalFormatting sqref="P157">
    <cfRule type="expression" dxfId="243" priority="122">
      <formula>AND(ISNUMBER(P157),TRUNC(P157)&lt;TODAY())</formula>
    </cfRule>
  </conditionalFormatting>
  <conditionalFormatting sqref="Q156">
    <cfRule type="expression" dxfId="241" priority="121">
      <formula>AND(ISNUMBER(Q156),TRUNC(Q156)&lt;TODAY())</formula>
    </cfRule>
  </conditionalFormatting>
  <conditionalFormatting sqref="F156">
    <cfRule type="containsText" dxfId="239" priority="120" operator="containsText" text="F">
      <formula>NOT(ISERROR(SEARCH(("F"),(F156))))</formula>
    </cfRule>
  </conditionalFormatting>
  <conditionalFormatting sqref="P156">
    <cfRule type="expression" dxfId="237" priority="119">
      <formula>AND(ISNUMBER(P156),TRUNC(P156)&lt;TODAY())</formula>
    </cfRule>
  </conditionalFormatting>
  <conditionalFormatting sqref="O156">
    <cfRule type="expression" dxfId="235" priority="118">
      <formula>AND(ISNUMBER(O156),TRUNC(O156)&lt;TODAY())</formula>
    </cfRule>
  </conditionalFormatting>
  <conditionalFormatting sqref="O101:Q101">
    <cfRule type="expression" dxfId="233" priority="117">
      <formula>AND(ISNUMBER(O101),TRUNC(O101)&lt;TODAY())</formula>
    </cfRule>
  </conditionalFormatting>
  <conditionalFormatting sqref="F101">
    <cfRule type="containsText" dxfId="231" priority="116" operator="containsText" text="F">
      <formula>NOT(ISERROR(SEARCH(("F"),(F101))))</formula>
    </cfRule>
  </conditionalFormatting>
  <conditionalFormatting sqref="O100:Q100">
    <cfRule type="expression" dxfId="229" priority="115">
      <formula>AND(ISNUMBER(O100),TRUNC(O100)&lt;TODAY())</formula>
    </cfRule>
  </conditionalFormatting>
  <conditionalFormatting sqref="F100">
    <cfRule type="containsText" dxfId="227" priority="114" operator="containsText" text="F">
      <formula>NOT(ISERROR(SEARCH(("F"),(F100))))</formula>
    </cfRule>
  </conditionalFormatting>
  <conditionalFormatting sqref="O99:Q99">
    <cfRule type="expression" dxfId="225" priority="113">
      <formula>AND(ISNUMBER(O99),TRUNC(O99)&lt;TODAY())</formula>
    </cfRule>
  </conditionalFormatting>
  <conditionalFormatting sqref="F99">
    <cfRule type="containsText" dxfId="223" priority="112" operator="containsText" text="F">
      <formula>NOT(ISERROR(SEARCH(("F"),(F99))))</formula>
    </cfRule>
  </conditionalFormatting>
  <conditionalFormatting sqref="F97">
    <cfRule type="containsText" dxfId="221" priority="111" operator="containsText" text="F">
      <formula>NOT(ISERROR(SEARCH(("F"),(F97))))</formula>
    </cfRule>
  </conditionalFormatting>
  <conditionalFormatting sqref="O97">
    <cfRule type="expression" dxfId="219" priority="110">
      <formula>AND(ISNUMBER(O97),TRUNC(O97)&lt;TODAY())</formula>
    </cfRule>
  </conditionalFormatting>
  <conditionalFormatting sqref="P97">
    <cfRule type="expression" dxfId="217" priority="109">
      <formula>AND(ISNUMBER(P97),TRUNC(P97)&lt;TODAY())</formula>
    </cfRule>
  </conditionalFormatting>
  <conditionalFormatting sqref="Q97">
    <cfRule type="expression" dxfId="215" priority="108">
      <formula>AND(ISNUMBER(Q97),TRUNC(Q97)&lt;TODAY())</formula>
    </cfRule>
  </conditionalFormatting>
  <conditionalFormatting sqref="Q97">
    <cfRule type="expression" dxfId="213" priority="107">
      <formula>AND(ISNUMBER(Q97),TRUNC(Q97)&lt;TODAY())</formula>
    </cfRule>
  </conditionalFormatting>
  <conditionalFormatting sqref="F98">
    <cfRule type="containsText" dxfId="211" priority="106" operator="containsText" text="F">
      <formula>NOT(ISERROR(SEARCH(("F"),(F98))))</formula>
    </cfRule>
  </conditionalFormatting>
  <conditionalFormatting sqref="P98:Q98">
    <cfRule type="expression" dxfId="209" priority="105">
      <formula>AND(ISNUMBER(P98),TRUNC(P98)&lt;TODAY())</formula>
    </cfRule>
  </conditionalFormatting>
  <conditionalFormatting sqref="O98:Q98">
    <cfRule type="expression" dxfId="207" priority="104">
      <formula>AND(ISNUMBER(O98),TRUNC(O98)&lt;TODAY())</formula>
    </cfRule>
  </conditionalFormatting>
  <conditionalFormatting sqref="F155">
    <cfRule type="containsText" dxfId="205" priority="103" operator="containsText" text="F">
      <formula>NOT(ISERROR(SEARCH(("F"),(F155))))</formula>
    </cfRule>
  </conditionalFormatting>
  <conditionalFormatting sqref="O155:Q155">
    <cfRule type="expression" dxfId="203" priority="102">
      <formula>AND(ISNUMBER(O155),TRUNC(O155)&lt;TODAY())</formula>
    </cfRule>
  </conditionalFormatting>
  <conditionalFormatting sqref="O135:Q135">
    <cfRule type="expression" dxfId="201" priority="101">
      <formula>AND(ISNUMBER(O135),TRUNC(O135)&lt;TODAY())</formula>
    </cfRule>
  </conditionalFormatting>
  <conditionalFormatting sqref="F135">
    <cfRule type="containsText" dxfId="199" priority="100" operator="containsText" text="F">
      <formula>NOT(ISERROR(SEARCH(("F"),(F135))))</formula>
    </cfRule>
  </conditionalFormatting>
  <conditionalFormatting sqref="O96:Q96">
    <cfRule type="expression" dxfId="197" priority="99">
      <formula>AND(ISNUMBER(O96),TRUNC(O96)&lt;TODAY())</formula>
    </cfRule>
  </conditionalFormatting>
  <conditionalFormatting sqref="O95:Q95">
    <cfRule type="expression" dxfId="195" priority="98">
      <formula>AND(ISNUMBER(O95),TRUNC(O95)&lt;TODAY())</formula>
    </cfRule>
  </conditionalFormatting>
  <conditionalFormatting sqref="F95">
    <cfRule type="containsText" dxfId="193" priority="97" operator="containsText" text="F">
      <formula>NOT(ISERROR(SEARCH(("F"),(F95))))</formula>
    </cfRule>
  </conditionalFormatting>
  <conditionalFormatting sqref="F94">
    <cfRule type="containsText" dxfId="191" priority="96" operator="containsText" text="F">
      <formula>NOT(ISERROR(SEARCH(("F"),(F94))))</formula>
    </cfRule>
  </conditionalFormatting>
  <conditionalFormatting sqref="O94:Q94">
    <cfRule type="expression" dxfId="189" priority="95">
      <formula>AND(ISNUMBER(O94),TRUNC(O94)&lt;TODAY())</formula>
    </cfRule>
  </conditionalFormatting>
  <conditionalFormatting sqref="F93">
    <cfRule type="containsText" dxfId="187" priority="94" operator="containsText" text="F">
      <formula>NOT(ISERROR(SEARCH(("F"),(F93))))</formula>
    </cfRule>
  </conditionalFormatting>
  <conditionalFormatting sqref="O93:Q93">
    <cfRule type="expression" dxfId="185" priority="93">
      <formula>AND(ISNUMBER(O93),TRUNC(O93)&lt;TODAY())</formula>
    </cfRule>
  </conditionalFormatting>
  <conditionalFormatting sqref="O92:Q92">
    <cfRule type="expression" dxfId="183" priority="92">
      <formula>AND(ISNUMBER(O92),TRUNC(O92)&lt;TODAY())</formula>
    </cfRule>
  </conditionalFormatting>
  <conditionalFormatting sqref="F92">
    <cfRule type="containsText" dxfId="181" priority="91" operator="containsText" text="F">
      <formula>NOT(ISERROR(SEARCH(("F"),(F92))))</formula>
    </cfRule>
  </conditionalFormatting>
  <conditionalFormatting sqref="F91">
    <cfRule type="containsText" dxfId="179" priority="90" operator="containsText" text="F">
      <formula>NOT(ISERROR(SEARCH(("F"),(F91))))</formula>
    </cfRule>
  </conditionalFormatting>
  <conditionalFormatting sqref="O91:Q91">
    <cfRule type="expression" dxfId="177" priority="89">
      <formula>AND(ISNUMBER(O91),TRUNC(O91)&lt;TODAY())</formula>
    </cfRule>
  </conditionalFormatting>
  <conditionalFormatting sqref="F90">
    <cfRule type="containsText" dxfId="175" priority="88" operator="containsText" text="F">
      <formula>NOT(ISERROR(SEARCH(("F"),(F90))))</formula>
    </cfRule>
  </conditionalFormatting>
  <conditionalFormatting sqref="O90:Q90">
    <cfRule type="expression" dxfId="173" priority="87">
      <formula>AND(ISNUMBER(O90),TRUNC(O90)&lt;TODAY())</formula>
    </cfRule>
  </conditionalFormatting>
  <conditionalFormatting sqref="F89">
    <cfRule type="containsText" dxfId="171" priority="86" operator="containsText" text="F">
      <formula>NOT(ISERROR(SEARCH(("F"),(F89))))</formula>
    </cfRule>
  </conditionalFormatting>
  <conditionalFormatting sqref="O89:Q89">
    <cfRule type="expression" dxfId="169" priority="85">
      <formula>AND(ISNUMBER(O89),TRUNC(O89)&lt;TODAY())</formula>
    </cfRule>
  </conditionalFormatting>
  <conditionalFormatting sqref="F102">
    <cfRule type="containsText" dxfId="167" priority="84" operator="containsText" text="F">
      <formula>NOT(ISERROR(SEARCH(("F"),(F102))))</formula>
    </cfRule>
  </conditionalFormatting>
  <conditionalFormatting sqref="O102:Q102">
    <cfRule type="expression" dxfId="165" priority="83">
      <formula>AND(ISNUMBER(O102),TRUNC(O102)&lt;TODAY())</formula>
    </cfRule>
  </conditionalFormatting>
  <conditionalFormatting sqref="Q102">
    <cfRule type="expression" dxfId="163" priority="82">
      <formula>AND(ISNUMBER(Q102),TRUNC(Q102)&lt;TODAY())</formula>
    </cfRule>
  </conditionalFormatting>
  <conditionalFormatting sqref="P154">
    <cfRule type="expression" dxfId="161" priority="81">
      <formula>AND(ISNUMBER(P154),TRUNC(P154)&lt;TODAY())</formula>
    </cfRule>
  </conditionalFormatting>
  <conditionalFormatting sqref="P154">
    <cfRule type="expression" dxfId="159" priority="80">
      <formula>AND(ISNUMBER(P154),TRUNC(P154)&lt;TODAY())</formula>
    </cfRule>
  </conditionalFormatting>
  <conditionalFormatting sqref="Q154">
    <cfRule type="expression" dxfId="157" priority="79">
      <formula>AND(ISNUMBER(Q154),TRUNC(Q154)&lt;TODAY())</formula>
    </cfRule>
  </conditionalFormatting>
  <conditionalFormatting sqref="O154">
    <cfRule type="expression" dxfId="155" priority="78">
      <formula>AND(ISNUMBER(O154),TRUNC(O154)&lt;TODAY())</formula>
    </cfRule>
  </conditionalFormatting>
  <conditionalFormatting sqref="F154">
    <cfRule type="containsText" dxfId="153" priority="77" operator="containsText" text="F">
      <formula>NOT(ISERROR(SEARCH(("F"),(F154))))</formula>
    </cfRule>
  </conditionalFormatting>
  <conditionalFormatting sqref="O88:Q88">
    <cfRule type="expression" dxfId="151" priority="76">
      <formula>AND(ISNUMBER(O88),TRUNC(O88)&lt;TODAY())</formula>
    </cfRule>
  </conditionalFormatting>
  <conditionalFormatting sqref="F88">
    <cfRule type="containsText" dxfId="149" priority="75" operator="containsText" text="F">
      <formula>NOT(ISERROR(SEARCH(("F"),(F88))))</formula>
    </cfRule>
  </conditionalFormatting>
  <conditionalFormatting sqref="F87">
    <cfRule type="containsText" dxfId="147" priority="74" operator="containsText" text="F">
      <formula>NOT(ISERROR(SEARCH(("F"),(F87))))</formula>
    </cfRule>
  </conditionalFormatting>
  <conditionalFormatting sqref="O87:Q87">
    <cfRule type="expression" dxfId="145" priority="73">
      <formula>AND(ISNUMBER(O87),TRUNC(O87)&lt;TODAY())</formula>
    </cfRule>
  </conditionalFormatting>
  <conditionalFormatting sqref="O86:Q86">
    <cfRule type="expression" dxfId="143" priority="72">
      <formula>AND(ISNUMBER(O86),TRUNC(O86)&lt;TODAY())</formula>
    </cfRule>
  </conditionalFormatting>
  <conditionalFormatting sqref="F86">
    <cfRule type="containsText" dxfId="141" priority="71" operator="containsText" text="F">
      <formula>NOT(ISERROR(SEARCH(("F"),(F86))))</formula>
    </cfRule>
  </conditionalFormatting>
  <conditionalFormatting sqref="O85:Q85">
    <cfRule type="expression" dxfId="139" priority="70">
      <formula>AND(ISNUMBER(O85),TRUNC(O85)&lt;TODAY())</formula>
    </cfRule>
  </conditionalFormatting>
  <conditionalFormatting sqref="F85">
    <cfRule type="containsText" dxfId="137" priority="69" operator="containsText" text="F">
      <formula>NOT(ISERROR(SEARCH(("F"),(F85))))</formula>
    </cfRule>
  </conditionalFormatting>
  <conditionalFormatting sqref="F84">
    <cfRule type="containsText" dxfId="135" priority="68" operator="containsText" text="F">
      <formula>NOT(ISERROR(SEARCH(("F"),(F84))))</formula>
    </cfRule>
  </conditionalFormatting>
  <conditionalFormatting sqref="O84:Q84">
    <cfRule type="expression" dxfId="133" priority="67">
      <formula>AND(ISNUMBER(O84),TRUNC(O84)&lt;TODAY())</formula>
    </cfRule>
  </conditionalFormatting>
  <conditionalFormatting sqref="O83:Q83">
    <cfRule type="expression" dxfId="131" priority="66">
      <formula>AND(ISNUMBER(O83),TRUNC(O83)&lt;TODAY())</formula>
    </cfRule>
  </conditionalFormatting>
  <conditionalFormatting sqref="F83">
    <cfRule type="containsText" dxfId="129" priority="65" operator="containsText" text="F">
      <formula>NOT(ISERROR(SEARCH(("F"),(F83))))</formula>
    </cfRule>
  </conditionalFormatting>
  <conditionalFormatting sqref="F153">
    <cfRule type="containsText" dxfId="127" priority="64" operator="containsText" text="F">
      <formula>NOT(ISERROR(SEARCH(("F"),(F153))))</formula>
    </cfRule>
  </conditionalFormatting>
  <conditionalFormatting sqref="O153:Q153">
    <cfRule type="expression" dxfId="125" priority="63">
      <formula>AND(ISNUMBER(O153),TRUNC(O153)&lt;TODAY())</formula>
    </cfRule>
  </conditionalFormatting>
  <conditionalFormatting sqref="V153">
    <cfRule type="notContainsBlanks" dxfId="123" priority="62">
      <formula>LEN(TRIM(V153))&gt;0</formula>
    </cfRule>
  </conditionalFormatting>
  <conditionalFormatting sqref="F152">
    <cfRule type="containsText" dxfId="121" priority="61" operator="containsText" text="F">
      <formula>NOT(ISERROR(SEARCH(("F"),(F152))))</formula>
    </cfRule>
  </conditionalFormatting>
  <conditionalFormatting sqref="O152:Q152">
    <cfRule type="expression" dxfId="119" priority="60">
      <formula>AND(ISNUMBER(O152),TRUNC(O152)&lt;TODAY())</formula>
    </cfRule>
  </conditionalFormatting>
  <conditionalFormatting sqref="O151:Q151">
    <cfRule type="expression" dxfId="117" priority="59">
      <formula>AND(ISNUMBER(O151),TRUNC(O151)&lt;TODAY())</formula>
    </cfRule>
  </conditionalFormatting>
  <conditionalFormatting sqref="F151">
    <cfRule type="containsText" dxfId="115" priority="58" operator="containsText" text="F">
      <formula>NOT(ISERROR(SEARCH(("F"),(F151))))</formula>
    </cfRule>
  </conditionalFormatting>
  <conditionalFormatting sqref="V151">
    <cfRule type="notContainsBlanks" dxfId="113" priority="57">
      <formula>LEN(TRIM(V151))&gt;0</formula>
    </cfRule>
  </conditionalFormatting>
  <conditionalFormatting sqref="F150">
    <cfRule type="containsText" dxfId="111" priority="56" operator="containsText" text="F">
      <formula>NOT(ISERROR(SEARCH(("F"),(F150))))</formula>
    </cfRule>
  </conditionalFormatting>
  <conditionalFormatting sqref="O150:Q150">
    <cfRule type="expression" dxfId="109" priority="55">
      <formula>AND(ISNUMBER(O150),TRUNC(O150)&lt;TODAY())</formula>
    </cfRule>
  </conditionalFormatting>
  <conditionalFormatting sqref="F82">
    <cfRule type="containsText" dxfId="107" priority="54" operator="containsText" text="F">
      <formula>NOT(ISERROR(SEARCH(("F"),(F82))))</formula>
    </cfRule>
  </conditionalFormatting>
  <conditionalFormatting sqref="O82:Q82">
    <cfRule type="expression" dxfId="105" priority="53">
      <formula>AND(ISNUMBER(O82),TRUNC(O82)&lt;TODAY())</formula>
    </cfRule>
  </conditionalFormatting>
  <conditionalFormatting sqref="F149">
    <cfRule type="containsText" dxfId="103" priority="52" operator="containsText" text="F">
      <formula>NOT(ISERROR(SEARCH(("F"),(F149))))</formula>
    </cfRule>
  </conditionalFormatting>
  <conditionalFormatting sqref="O149:Q149">
    <cfRule type="expression" dxfId="101" priority="51">
      <formula>AND(ISNUMBER(O149),TRUNC(O149)&lt;TODAY())</formula>
    </cfRule>
  </conditionalFormatting>
  <conditionalFormatting sqref="O81:Q81">
    <cfRule type="expression" dxfId="99" priority="50">
      <formula>AND(ISNUMBER(O81),TRUNC(O81)&lt;TODAY())</formula>
    </cfRule>
  </conditionalFormatting>
  <conditionalFormatting sqref="F81">
    <cfRule type="containsText" dxfId="97" priority="49" operator="containsText" text="F">
      <formula>NOT(ISERROR(SEARCH(("F"),(F81))))</formula>
    </cfRule>
  </conditionalFormatting>
  <conditionalFormatting sqref="O80:Q80">
    <cfRule type="expression" dxfId="95" priority="48">
      <formula>AND(ISNUMBER(O80),TRUNC(O80)&lt;TODAY())</formula>
    </cfRule>
  </conditionalFormatting>
  <conditionalFormatting sqref="F80">
    <cfRule type="containsText" dxfId="93" priority="47" operator="containsText" text="F">
      <formula>NOT(ISERROR(SEARCH(("F"),(F80))))</formula>
    </cfRule>
  </conditionalFormatting>
  <conditionalFormatting sqref="O79:Q79">
    <cfRule type="expression" dxfId="91" priority="46">
      <formula>AND(ISNUMBER(O79),TRUNC(O79)&lt;TODAY())</formula>
    </cfRule>
  </conditionalFormatting>
  <conditionalFormatting sqref="F79">
    <cfRule type="containsText" dxfId="89" priority="45" operator="containsText" text="F">
      <formula>NOT(ISERROR(SEARCH(("F"),(F79))))</formula>
    </cfRule>
  </conditionalFormatting>
  <conditionalFormatting sqref="O78:Q78">
    <cfRule type="expression" dxfId="87" priority="44">
      <formula>AND(ISNUMBER(O78),TRUNC(O78)&lt;TODAY())</formula>
    </cfRule>
  </conditionalFormatting>
  <conditionalFormatting sqref="F78">
    <cfRule type="containsText" dxfId="85" priority="43" operator="containsText" text="F">
      <formula>NOT(ISERROR(SEARCH(("F"),(F78))))</formula>
    </cfRule>
  </conditionalFormatting>
  <conditionalFormatting sqref="O77:Q77">
    <cfRule type="expression" dxfId="83" priority="42">
      <formula>AND(ISNUMBER(O77),TRUNC(O77)&lt;TODAY())</formula>
    </cfRule>
  </conditionalFormatting>
  <conditionalFormatting sqref="F77">
    <cfRule type="containsText" dxfId="81" priority="41" operator="containsText" text="F">
      <formula>NOT(ISERROR(SEARCH(("F"),(F77))))</formula>
    </cfRule>
  </conditionalFormatting>
  <conditionalFormatting sqref="O76:Q76">
    <cfRule type="expression" dxfId="79" priority="40">
      <formula>AND(ISNUMBER(O76),TRUNC(O76)&lt;TODAY())</formula>
    </cfRule>
  </conditionalFormatting>
  <conditionalFormatting sqref="F76">
    <cfRule type="containsText" dxfId="77" priority="39" operator="containsText" text="F">
      <formula>NOT(ISERROR(SEARCH(("F"),(F76))))</formula>
    </cfRule>
  </conditionalFormatting>
  <conditionalFormatting sqref="O75:Q75">
    <cfRule type="expression" dxfId="75" priority="38">
      <formula>AND(ISNUMBER(O75),TRUNC(O75)&lt;TODAY())</formula>
    </cfRule>
  </conditionalFormatting>
  <conditionalFormatting sqref="F75">
    <cfRule type="containsText" dxfId="73" priority="37" operator="containsText" text="F">
      <formula>NOT(ISERROR(SEARCH(("F"),(F75))))</formula>
    </cfRule>
  </conditionalFormatting>
  <conditionalFormatting sqref="F74">
    <cfRule type="containsText" dxfId="71" priority="36" operator="containsText" text="F">
      <formula>NOT(ISERROR(SEARCH(("F"),(F74))))</formula>
    </cfRule>
  </conditionalFormatting>
  <conditionalFormatting sqref="O74:Q74">
    <cfRule type="expression" dxfId="69" priority="35">
      <formula>AND(ISNUMBER(O74),TRUNC(O74)&lt;TODAY())</formula>
    </cfRule>
  </conditionalFormatting>
  <conditionalFormatting sqref="F73">
    <cfRule type="containsText" dxfId="67" priority="34" operator="containsText" text="F">
      <formula>NOT(ISERROR(SEARCH(("F"),(F73))))</formula>
    </cfRule>
  </conditionalFormatting>
  <conditionalFormatting sqref="O73:Q73">
    <cfRule type="expression" dxfId="65" priority="33">
      <formula>AND(ISNUMBER(O73),TRUNC(O73)&lt;TODAY())</formula>
    </cfRule>
  </conditionalFormatting>
  <conditionalFormatting sqref="F72">
    <cfRule type="containsText" dxfId="63" priority="32" operator="containsText" text="F">
      <formula>NOT(ISERROR(SEARCH(("F"),(F72))))</formula>
    </cfRule>
  </conditionalFormatting>
  <conditionalFormatting sqref="O72:Q72">
    <cfRule type="expression" dxfId="61" priority="31">
      <formula>AND(ISNUMBER(O72),TRUNC(O72)&lt;TODAY())</formula>
    </cfRule>
  </conditionalFormatting>
  <conditionalFormatting sqref="P26 P29 P34 P43 P50 P61 P139">
    <cfRule type="expression" dxfId="59" priority="30">
      <formula>AND(ISNUMBER(P26),TRUNC(P26)&lt;TODAY())</formula>
    </cfRule>
  </conditionalFormatting>
  <conditionalFormatting sqref="F71">
    <cfRule type="containsText" dxfId="57" priority="29" operator="containsText" text="F">
      <formula>NOT(ISERROR(SEARCH(("F"),(F71))))</formula>
    </cfRule>
  </conditionalFormatting>
  <conditionalFormatting sqref="O71:Q71 P137">
    <cfRule type="expression" dxfId="55" priority="28">
      <formula>AND(ISNUMBER(O71),TRUNC(O71)&lt;TODAY())</formula>
    </cfRule>
  </conditionalFormatting>
  <conditionalFormatting sqref="O70:Q70">
    <cfRule type="expression" dxfId="53" priority="27">
      <formula>AND(ISNUMBER(O70),TRUNC(O70)&lt;TODAY())</formula>
    </cfRule>
  </conditionalFormatting>
  <conditionalFormatting sqref="F70">
    <cfRule type="containsText" dxfId="51" priority="26" operator="containsText" text="F">
      <formula>NOT(ISERROR(SEARCH(("F"),(F70))))</formula>
    </cfRule>
  </conditionalFormatting>
  <conditionalFormatting sqref="O68:Q68">
    <cfRule type="expression" dxfId="49" priority="25">
      <formula>AND(ISNUMBER(O68),TRUNC(O68)&lt;TODAY())</formula>
    </cfRule>
  </conditionalFormatting>
  <conditionalFormatting sqref="O69:Q69">
    <cfRule type="expression" dxfId="47" priority="24">
      <formula>AND(ISNUMBER(O69),TRUNC(O69)&lt;TODAY())</formula>
    </cfRule>
  </conditionalFormatting>
  <conditionalFormatting sqref="F68">
    <cfRule type="containsText" dxfId="45" priority="23" operator="containsText" text="F">
      <formula>NOT(ISERROR(SEARCH(("F"),(F68))))</formula>
    </cfRule>
  </conditionalFormatting>
  <conditionalFormatting sqref="F69">
    <cfRule type="containsText" dxfId="43" priority="22" operator="containsText" text="F">
      <formula>NOT(ISERROR(SEARCH(("F"),(F69))))</formula>
    </cfRule>
  </conditionalFormatting>
  <conditionalFormatting sqref="F67">
    <cfRule type="containsText" dxfId="41" priority="21" operator="containsText" text="F">
      <formula>NOT(ISERROR(SEARCH(("F"),(F67))))</formula>
    </cfRule>
  </conditionalFormatting>
  <conditionalFormatting sqref="O67:Q67">
    <cfRule type="expression" dxfId="39" priority="20">
      <formula>AND(ISNUMBER(O67),TRUNC(O67)&lt;TODAY())</formula>
    </cfRule>
  </conditionalFormatting>
  <conditionalFormatting sqref="F66">
    <cfRule type="containsText" dxfId="37" priority="19" operator="containsText" text="F">
      <formula>NOT(ISERROR(SEARCH(("F"),(F66))))</formula>
    </cfRule>
  </conditionalFormatting>
  <conditionalFormatting sqref="O66:Q66">
    <cfRule type="expression" dxfId="35" priority="18">
      <formula>AND(ISNUMBER(O66),TRUNC(O66)&lt;TODAY())</formula>
    </cfRule>
  </conditionalFormatting>
  <conditionalFormatting sqref="Q10 Q28 Q38 Q41 Q62">
    <cfRule type="expression" dxfId="33" priority="17">
      <formula>AND(ISNUMBER(Q10),TRUNC(Q10)&lt;TODAY())</formula>
    </cfRule>
  </conditionalFormatting>
  <conditionalFormatting sqref="O15">
    <cfRule type="expression" dxfId="31" priority="16">
      <formula>AND(ISNUMBER(O15),TRUNC(O15)&lt;TODAY())</formula>
    </cfRule>
  </conditionalFormatting>
  <conditionalFormatting sqref="Q15">
    <cfRule type="expression" dxfId="29" priority="15">
      <formula>AND(ISNUMBER(Q15),TRUNC(Q15)&lt;TODAY())</formula>
    </cfRule>
  </conditionalFormatting>
  <conditionalFormatting sqref="P15">
    <cfRule type="expression" dxfId="27" priority="14">
      <formula>AND(ISNUMBER(P15),TRUNC(P15)&lt;TODAY())</formula>
    </cfRule>
  </conditionalFormatting>
  <conditionalFormatting sqref="F15">
    <cfRule type="containsText" dxfId="25" priority="13" operator="containsText" text="F">
      <formula>NOT(ISERROR(SEARCH(("F"),(F15))))</formula>
    </cfRule>
  </conditionalFormatting>
  <conditionalFormatting sqref="P2 P19 P34 P145 P148">
    <cfRule type="expression" dxfId="23" priority="12">
      <formula>AND(ISNUMBER(P2),TRUNC(P2)&lt;TODAY())</formula>
    </cfRule>
  </conditionalFormatting>
  <conditionalFormatting sqref="P148">
    <cfRule type="expression" dxfId="21" priority="11">
      <formula>AND(ISNUMBER(P148),TRUNC(P148)&lt;TODAY())</formula>
    </cfRule>
  </conditionalFormatting>
  <conditionalFormatting sqref="Q148">
    <cfRule type="expression" dxfId="19" priority="10">
      <formula>AND(ISNUMBER(Q148),TRUNC(Q148)&lt;TODAY())</formula>
    </cfRule>
  </conditionalFormatting>
  <conditionalFormatting sqref="O148">
    <cfRule type="expression" dxfId="17" priority="9">
      <formula>AND(ISNUMBER(O148),TRUNC(O148)&lt;TODAY())</formula>
    </cfRule>
  </conditionalFormatting>
  <conditionalFormatting sqref="F148">
    <cfRule type="containsText" dxfId="15" priority="8" operator="containsText" text="F">
      <formula>NOT(ISERROR(SEARCH(("F"),(F148))))</formula>
    </cfRule>
  </conditionalFormatting>
  <conditionalFormatting sqref="F147">
    <cfRule type="containsText" dxfId="13" priority="7" operator="containsText" text="F">
      <formula>NOT(ISERROR(SEARCH(("F"),(F147))))</formula>
    </cfRule>
  </conditionalFormatting>
  <conditionalFormatting sqref="Q147">
    <cfRule type="expression" dxfId="11" priority="6">
      <formula>AND(ISNUMBER(Q147),TRUNC(Q147)&lt;TODAY())</formula>
    </cfRule>
  </conditionalFormatting>
  <conditionalFormatting sqref="P147">
    <cfRule type="expression" dxfId="9" priority="5">
      <formula>AND(ISNUMBER(P147),TRUNC(P147)&lt;TODAY())</formula>
    </cfRule>
  </conditionalFormatting>
  <conditionalFormatting sqref="O147">
    <cfRule type="expression" dxfId="7" priority="4">
      <formula>AND(ISNUMBER(O147),TRUNC(O147)&lt;TODAY())</formula>
    </cfRule>
  </conditionalFormatting>
  <conditionalFormatting sqref="P63">
    <cfRule type="expression" dxfId="5" priority="3">
      <formula>AND(ISNUMBER(P63),TRUNC(P63)&lt;TODAY())</formula>
    </cfRule>
  </conditionalFormatting>
  <conditionalFormatting sqref="M3">
    <cfRule type="notContainsBlanks" dxfId="3" priority="2">
      <formula>LEN(TRIM(M3))&gt;0</formula>
    </cfRule>
  </conditionalFormatting>
  <conditionalFormatting sqref="O1:Q14 O16:Q39 O41:Q65 O136:Q146">
    <cfRule type="expression" dxfId="1" priority="1">
      <formula>AND(ISNUMBER(P1),TRUNC(P1)&lt;TODAY())</formula>
    </cfRule>
  </conditionalFormatting>
  <dataValidations count="7">
    <dataValidation type="custom" allowBlank="1" showDropDown="1" showErrorMessage="1" sqref="P2 P5 P7 P9 P13 P15 P18 P21 P23 P25:P26 P29 P31 P39 P43 P48 P61:P62 P71 P75:P78 P80 N85:O85 N90:O90 N91:P91 P92 N94:P94 P97 N99:P99 P100 N101:P101 N103:P103 N107:O107 P109 N112:O113 N114:P114 P115 N118:P118 N122:P122 N125:P125 P126:P127 N128:P129 P131 N134:O134 P146:P148 P150 P153:P154 N159:P159">
      <formula1>OR(NOT(ISERROR(DATEVALUE(N2))), AND(ISNUMBER(N2), LEFT(CELL("format", N2))="D"))</formula1>
    </dataValidation>
    <dataValidation type="list" allowBlank="1" showErrorMessage="1" sqref="G1:G8 G10:G11 G14 G16:G18 G21:G22 G24:G30 G32 G36:G38 G40 G42 G44 G46 G48:G50 G52:G55 G57:G60 G62:G69 G71 G83:G88 G90:G97 G99 G101:G108 G111:G122 G125 G128:G131 G134:G148 G151 G159">
      <formula1>"UR,SC,ST"</formula1>
    </dataValidation>
    <dataValidation type="list" allowBlank="1" sqref="V149 V152:V154 V158:V159">
      <formula1>"YES,NO,DW"</formula1>
    </dataValidation>
    <dataValidation type="list" allowBlank="1" sqref="G9 G12:G13 G15 G19:G20 G23 G31 G33:G35 G39 G41 G43 G45 G47 G51 G56 G61 G70 G72:G82 G89 G98 G100 G109:G110 G123:G124 G126:G127 G132:G133 G149:G150 G152:G158 G160:G163">
      <formula1>"UR,SC,ST"</formula1>
    </dataValidation>
    <dataValidation type="custom" allowBlank="1" showDropDown="1" showInputMessage="1" showErrorMessage="1" prompt="Enter a valid date" sqref="M1:Q1 M2:O2 Q2 M3:Q4 M5:O5 Q5 M6:P6 M7:O7 Q7 M8:Q8 M9:O9 Q9 M10:Q12 M13:O13 Q13 M14:Q14 M15:O15 Q15 M16:P16 M17:Q17 M18:O18 Q18 M19:Q20 M21:O21 Q21 M22:Q22 M23:O23 Q23 M24:Q24 M25:O26 Q25:Q26 M27:Q28 M29:O29 Q29 M30:Q30 M31:O31 Q31 M32:Q38 M39:O39 Q39 M40:Q41 M42:P42 M43:O43 Q43 M44:Q47 M48:O48 Q48 M49:Q59 M60:O62 Q60:Q62 M63:Q63 M64:P65 M66:Q70 M71:O71 Q71 M72:Q74 M75:O78 Q75:Q78 M79:Q79 M80:O80 Q80 M81:Q84 M85 P85:Q85 M86:Q89 P90:Q90 M90:M91 M92:O92 Q91:Q92 M93:Q93 M94 Q94 M95:Q96 M97:O97 Q97 M98:Q98 M99 M100:O100 M101 Q99:Q101 M102:Q102 M103 Q103 M104:Q106 M107 P107:Q107 M108:Q108 M109:O109 Q109 M110:Q111 P112:Q113 M112:M114 M115:O115 Q114:Q115 M116:Q117 M118 Q118 M119:Q121 M122 Q122 M123:Q124 M125 M126:O127 M128:M129 Q125:Q129 M130:Q130 M131:O131 Q131 M132:Q133 M134 P134:Q134 M135:Q145 M146:O148 Q146:Q148 M149:Q149 M150:O150 Q150 M151:Q152 M153:O154 Q153:Q154 M155:Q158 M159 Q159 M160:Q163">
      <formula1>OR(NOT(ISERROR(DATEVALUE(M1))), AND(ISNUMBER(M1), LEFT(CELL("format", M1))="D"))</formula1>
    </dataValidation>
    <dataValidation type="list" allowBlank="1" showInputMessage="1" showErrorMessage="1" prompt="Either M or F" sqref="F1:F163">
      <formula1>"M,F"</formula1>
    </dataValidation>
    <dataValidation type="list" allowBlank="1" sqref="H2:H163">
      <formula1>"A,B,C"</formula1>
    </dataValidation>
  </dataValidations>
  <hyperlinks>
    <hyperlink ref="T2" r:id="rId1"/>
    <hyperlink ref="U2" r:id="rId2"/>
    <hyperlink ref="T3" r:id="rId3"/>
    <hyperlink ref="U3" r:id="rId4"/>
    <hyperlink ref="T4" r:id="rId5"/>
    <hyperlink ref="U4" r:id="rId6"/>
    <hyperlink ref="T5" r:id="rId7"/>
    <hyperlink ref="U5" r:id="rId8"/>
    <hyperlink ref="T6" r:id="rId9"/>
    <hyperlink ref="U6" r:id="rId10"/>
    <hyperlink ref="T7" r:id="rId11"/>
    <hyperlink ref="U7" r:id="rId12"/>
    <hyperlink ref="T8" r:id="rId13"/>
    <hyperlink ref="U8" r:id="rId14"/>
    <hyperlink ref="R9" r:id="rId15"/>
    <hyperlink ref="S9" r:id="rId16"/>
    <hyperlink ref="T9" r:id="rId17"/>
    <hyperlink ref="U9" r:id="rId18"/>
    <hyperlink ref="T10" r:id="rId19"/>
    <hyperlink ref="U10" r:id="rId20"/>
    <hyperlink ref="T11" r:id="rId21"/>
    <hyperlink ref="U11" r:id="rId22"/>
    <hyperlink ref="T12" r:id="rId23"/>
    <hyperlink ref="U12" r:id="rId24"/>
    <hyperlink ref="T13" r:id="rId25"/>
    <hyperlink ref="U13" r:id="rId26"/>
    <hyperlink ref="T14" r:id="rId27"/>
    <hyperlink ref="U14" r:id="rId28"/>
    <hyperlink ref="T15" r:id="rId29"/>
    <hyperlink ref="U15" r:id="rId30"/>
    <hyperlink ref="T16" r:id="rId31"/>
    <hyperlink ref="U16" r:id="rId32"/>
    <hyperlink ref="T17" r:id="rId33"/>
    <hyperlink ref="U17" r:id="rId34"/>
    <hyperlink ref="T18" r:id="rId35"/>
    <hyperlink ref="U18" r:id="rId36"/>
    <hyperlink ref="T19" r:id="rId37"/>
    <hyperlink ref="U19" r:id="rId38"/>
    <hyperlink ref="T20" r:id="rId39"/>
    <hyperlink ref="U21" r:id="rId40"/>
    <hyperlink ref="T22" r:id="rId41"/>
    <hyperlink ref="U22" r:id="rId42"/>
    <hyperlink ref="T23" r:id="rId43"/>
    <hyperlink ref="U23" r:id="rId44"/>
    <hyperlink ref="T24" r:id="rId45"/>
    <hyperlink ref="U24" r:id="rId46"/>
    <hyperlink ref="T25" r:id="rId47"/>
    <hyperlink ref="U25" r:id="rId48"/>
    <hyperlink ref="T26" r:id="rId49"/>
    <hyperlink ref="U26" r:id="rId50"/>
    <hyperlink ref="T27" r:id="rId51"/>
    <hyperlink ref="U27" r:id="rId52"/>
    <hyperlink ref="T28" r:id="rId53"/>
    <hyperlink ref="U28" r:id="rId54"/>
    <hyperlink ref="T29" r:id="rId55"/>
    <hyperlink ref="U29" r:id="rId56"/>
    <hyperlink ref="T30" r:id="rId57"/>
    <hyperlink ref="U30" r:id="rId58"/>
    <hyperlink ref="T31" r:id="rId59"/>
    <hyperlink ref="U31" r:id="rId60"/>
    <hyperlink ref="T32" r:id="rId61"/>
    <hyperlink ref="U32" r:id="rId62"/>
    <hyperlink ref="T33" r:id="rId63"/>
    <hyperlink ref="U33" r:id="rId64"/>
    <hyperlink ref="T34" r:id="rId65"/>
    <hyperlink ref="U34" r:id="rId66"/>
    <hyperlink ref="T35" r:id="rId67"/>
    <hyperlink ref="T36" r:id="rId68"/>
    <hyperlink ref="U36" r:id="rId69"/>
    <hyperlink ref="T37" r:id="rId70"/>
    <hyperlink ref="U37" r:id="rId71"/>
    <hyperlink ref="U38" r:id="rId72"/>
    <hyperlink ref="T39" r:id="rId73"/>
    <hyperlink ref="U39" r:id="rId74"/>
    <hyperlink ref="T40" r:id="rId75"/>
    <hyperlink ref="U40" r:id="rId76"/>
    <hyperlink ref="T41" r:id="rId77"/>
    <hyperlink ref="U41" r:id="rId78"/>
    <hyperlink ref="T42" r:id="rId79"/>
    <hyperlink ref="U42" r:id="rId80"/>
    <hyperlink ref="T43" r:id="rId81"/>
    <hyperlink ref="U43" r:id="rId82"/>
    <hyperlink ref="T44" r:id="rId83"/>
    <hyperlink ref="U44" r:id="rId84"/>
    <hyperlink ref="T45" r:id="rId85"/>
    <hyperlink ref="U45" r:id="rId86"/>
    <hyperlink ref="T46" r:id="rId87"/>
    <hyperlink ref="U46" r:id="rId88"/>
    <hyperlink ref="T47" r:id="rId89"/>
    <hyperlink ref="U47" r:id="rId90"/>
    <hyperlink ref="U48" r:id="rId91"/>
    <hyperlink ref="T49" r:id="rId92"/>
    <hyperlink ref="U49" r:id="rId93"/>
    <hyperlink ref="T50" r:id="rId94"/>
    <hyperlink ref="U50" r:id="rId95"/>
    <hyperlink ref="T51" r:id="rId96"/>
    <hyperlink ref="U51" r:id="rId97"/>
    <hyperlink ref="T52" r:id="rId98"/>
    <hyperlink ref="U52" r:id="rId99"/>
    <hyperlink ref="T53" r:id="rId100"/>
    <hyperlink ref="U53" r:id="rId101"/>
    <hyperlink ref="U54" r:id="rId102"/>
    <hyperlink ref="T55" r:id="rId103"/>
    <hyperlink ref="U55" r:id="rId104"/>
    <hyperlink ref="T56" r:id="rId105"/>
    <hyperlink ref="U56" r:id="rId106"/>
    <hyperlink ref="T57" r:id="rId107"/>
    <hyperlink ref="U57" r:id="rId108"/>
    <hyperlink ref="T58" r:id="rId109"/>
    <hyperlink ref="U58" r:id="rId110"/>
    <hyperlink ref="T59" r:id="rId111"/>
    <hyperlink ref="U59" r:id="rId112"/>
    <hyperlink ref="T60" r:id="rId113"/>
    <hyperlink ref="U60" r:id="rId114"/>
    <hyperlink ref="T61" r:id="rId115"/>
    <hyperlink ref="U61" r:id="rId116"/>
    <hyperlink ref="T62" r:id="rId117"/>
    <hyperlink ref="U62" r:id="rId118"/>
    <hyperlink ref="T63" r:id="rId119"/>
    <hyperlink ref="U63" r:id="rId120"/>
    <hyperlink ref="T64" r:id="rId121"/>
    <hyperlink ref="U64" r:id="rId122"/>
    <hyperlink ref="T65" r:id="rId123"/>
    <hyperlink ref="U65" r:id="rId124"/>
    <hyperlink ref="T66" r:id="rId125"/>
    <hyperlink ref="U66" r:id="rId126"/>
    <hyperlink ref="T67" r:id="rId127"/>
    <hyperlink ref="U67" r:id="rId128"/>
    <hyperlink ref="T68" r:id="rId129"/>
    <hyperlink ref="U68" r:id="rId130"/>
    <hyperlink ref="T69" r:id="rId131"/>
    <hyperlink ref="U69" r:id="rId132"/>
    <hyperlink ref="T70" r:id="rId133"/>
    <hyperlink ref="T71" r:id="rId134"/>
    <hyperlink ref="U71" r:id="rId135"/>
    <hyperlink ref="T72" r:id="rId136"/>
    <hyperlink ref="U72" r:id="rId137"/>
    <hyperlink ref="R73" r:id="rId138"/>
    <hyperlink ref="S73" r:id="rId139"/>
    <hyperlink ref="T73" r:id="rId140"/>
    <hyperlink ref="U73" r:id="rId141"/>
    <hyperlink ref="R74" r:id="rId142"/>
    <hyperlink ref="T74" r:id="rId143"/>
    <hyperlink ref="U74" r:id="rId144"/>
    <hyperlink ref="S75" r:id="rId145"/>
    <hyperlink ref="T75" r:id="rId146"/>
    <hyperlink ref="T76" r:id="rId147"/>
    <hyperlink ref="U76" r:id="rId148"/>
    <hyperlink ref="T77" r:id="rId149"/>
    <hyperlink ref="U77" r:id="rId150"/>
    <hyperlink ref="T78" r:id="rId151"/>
    <hyperlink ref="U78" r:id="rId152"/>
    <hyperlink ref="R79" r:id="rId153"/>
    <hyperlink ref="S79" r:id="rId154"/>
    <hyperlink ref="T79" r:id="rId155"/>
    <hyperlink ref="U79" r:id="rId156"/>
    <hyperlink ref="T80" r:id="rId157"/>
    <hyperlink ref="U80" r:id="rId158"/>
    <hyperlink ref="T81" r:id="rId159"/>
    <hyperlink ref="U81" r:id="rId160"/>
    <hyperlink ref="T82" r:id="rId161"/>
    <hyperlink ref="U82" r:id="rId162"/>
    <hyperlink ref="S83" r:id="rId163"/>
    <hyperlink ref="S84" r:id="rId164"/>
    <hyperlink ref="T84" r:id="rId165"/>
    <hyperlink ref="U84" r:id="rId166"/>
    <hyperlink ref="S85" r:id="rId167"/>
    <hyperlink ref="T85" r:id="rId168"/>
    <hyperlink ref="T86" r:id="rId169"/>
    <hyperlink ref="R87" r:id="rId170"/>
    <hyperlink ref="S87" r:id="rId171"/>
    <hyperlink ref="T87" r:id="rId172"/>
    <hyperlink ref="S88" r:id="rId173"/>
    <hyperlink ref="T88" r:id="rId174"/>
    <hyperlink ref="U88" r:id="rId175"/>
    <hyperlink ref="T89" r:id="rId176"/>
    <hyperlink ref="S90" r:id="rId177"/>
    <hyperlink ref="T90" r:id="rId178"/>
    <hyperlink ref="S91" r:id="rId179"/>
    <hyperlink ref="T91" r:id="rId180"/>
    <hyperlink ref="T92" r:id="rId181"/>
    <hyperlink ref="U92" r:id="rId182"/>
    <hyperlink ref="T93" r:id="rId183"/>
    <hyperlink ref="U93" r:id="rId184"/>
    <hyperlink ref="T94" r:id="rId185"/>
    <hyperlink ref="U94" r:id="rId186"/>
    <hyperlink ref="S95" r:id="rId187"/>
    <hyperlink ref="T95" r:id="rId188"/>
    <hyperlink ref="U95" r:id="rId189"/>
    <hyperlink ref="T96" r:id="rId190"/>
    <hyperlink ref="T97" r:id="rId191"/>
    <hyperlink ref="T98" r:id="rId192"/>
    <hyperlink ref="U98" r:id="rId193"/>
    <hyperlink ref="T99" r:id="rId194"/>
    <hyperlink ref="U99" r:id="rId195"/>
    <hyperlink ref="T100" r:id="rId196"/>
    <hyperlink ref="T101" r:id="rId197"/>
    <hyperlink ref="S102" r:id="rId198"/>
    <hyperlink ref="T102" r:id="rId199"/>
    <hyperlink ref="S103" r:id="rId200"/>
    <hyperlink ref="T103" r:id="rId201"/>
    <hyperlink ref="T104" r:id="rId202"/>
    <hyperlink ref="T105" r:id="rId203"/>
    <hyperlink ref="U105" r:id="rId204"/>
    <hyperlink ref="T106" r:id="rId205"/>
    <hyperlink ref="U106" r:id="rId206"/>
    <hyperlink ref="T107" r:id="rId207"/>
    <hyperlink ref="U107" r:id="rId208"/>
    <hyperlink ref="R108" r:id="rId209"/>
    <hyperlink ref="T108" r:id="rId210"/>
    <hyperlink ref="U108" r:id="rId211"/>
    <hyperlink ref="T109" r:id="rId212"/>
    <hyperlink ref="S110" r:id="rId213"/>
    <hyperlink ref="T110" r:id="rId214"/>
    <hyperlink ref="T111" r:id="rId215"/>
    <hyperlink ref="U111" r:id="rId216"/>
    <hyperlink ref="R112" r:id="rId217"/>
    <hyperlink ref="T112" r:id="rId218"/>
    <hyperlink ref="U112" r:id="rId219"/>
    <hyperlink ref="T113" r:id="rId220"/>
    <hyperlink ref="U113" r:id="rId221"/>
    <hyperlink ref="T114" r:id="rId222"/>
    <hyperlink ref="U114" r:id="rId223"/>
    <hyperlink ref="T115" r:id="rId224"/>
    <hyperlink ref="U115" r:id="rId225"/>
    <hyperlink ref="T116" r:id="rId226"/>
    <hyperlink ref="U116" r:id="rId227"/>
    <hyperlink ref="R117" r:id="rId228"/>
    <hyperlink ref="S117" r:id="rId229"/>
    <hyperlink ref="T117" r:id="rId230"/>
    <hyperlink ref="U117" r:id="rId231"/>
    <hyperlink ref="S118" r:id="rId232"/>
    <hyperlink ref="T118" r:id="rId233"/>
    <hyperlink ref="U118" r:id="rId234"/>
    <hyperlink ref="T119" r:id="rId235"/>
    <hyperlink ref="U119" r:id="rId236"/>
    <hyperlink ref="T120" r:id="rId237"/>
    <hyperlink ref="U120" r:id="rId238"/>
    <hyperlink ref="T121" r:id="rId239"/>
    <hyperlink ref="U121" r:id="rId240"/>
    <hyperlink ref="T122" r:id="rId241"/>
    <hyperlink ref="U122" r:id="rId242"/>
    <hyperlink ref="R123" r:id="rId243"/>
    <hyperlink ref="S123" r:id="rId244"/>
    <hyperlink ref="T123" r:id="rId245"/>
    <hyperlink ref="U123" r:id="rId246"/>
    <hyperlink ref="R124" r:id="rId247"/>
    <hyperlink ref="T124" r:id="rId248"/>
    <hyperlink ref="U124" r:id="rId249"/>
    <hyperlink ref="R125" r:id="rId250"/>
    <hyperlink ref="S125" r:id="rId251"/>
    <hyperlink ref="T125" r:id="rId252"/>
    <hyperlink ref="U125" r:id="rId253"/>
    <hyperlink ref="R126" r:id="rId254"/>
    <hyperlink ref="S126" r:id="rId255"/>
    <hyperlink ref="T126" r:id="rId256"/>
    <hyperlink ref="U126" r:id="rId257"/>
    <hyperlink ref="R127" r:id="rId258"/>
    <hyperlink ref="T127" r:id="rId259"/>
    <hyperlink ref="R128" r:id="rId260"/>
    <hyperlink ref="S128" r:id="rId261"/>
    <hyperlink ref="T128" r:id="rId262"/>
    <hyperlink ref="U128" r:id="rId263"/>
    <hyperlink ref="R129" r:id="rId264"/>
    <hyperlink ref="T129" r:id="rId265"/>
    <hyperlink ref="U129" r:id="rId266"/>
    <hyperlink ref="S130" r:id="rId267"/>
    <hyperlink ref="T130" r:id="rId268"/>
    <hyperlink ref="U130" r:id="rId269"/>
    <hyperlink ref="S131" r:id="rId270"/>
    <hyperlink ref="T131" r:id="rId271"/>
    <hyperlink ref="U131" r:id="rId272"/>
    <hyperlink ref="R132" r:id="rId273"/>
    <hyperlink ref="S132" r:id="rId274"/>
    <hyperlink ref="T132" r:id="rId275"/>
    <hyperlink ref="U132" r:id="rId276"/>
    <hyperlink ref="R133" r:id="rId277"/>
    <hyperlink ref="S133" r:id="rId278"/>
    <hyperlink ref="T133" r:id="rId279"/>
    <hyperlink ref="U133" r:id="rId280"/>
    <hyperlink ref="R134" r:id="rId281"/>
    <hyperlink ref="S134" r:id="rId282"/>
    <hyperlink ref="T134" r:id="rId283"/>
    <hyperlink ref="U134" r:id="rId284"/>
    <hyperlink ref="S135" r:id="rId285"/>
    <hyperlink ref="S136" r:id="rId286"/>
    <hyperlink ref="S137" r:id="rId287"/>
    <hyperlink ref="S138" r:id="rId288"/>
    <hyperlink ref="S139" r:id="rId289"/>
    <hyperlink ref="S140" r:id="rId290"/>
    <hyperlink ref="S141" r:id="rId291"/>
    <hyperlink ref="S142" r:id="rId292"/>
    <hyperlink ref="S143" r:id="rId293"/>
    <hyperlink ref="S144" r:id="rId294"/>
    <hyperlink ref="S146" r:id="rId295"/>
    <hyperlink ref="S147" r:id="rId296"/>
    <hyperlink ref="S148" r:id="rId297"/>
    <hyperlink ref="R149" r:id="rId298"/>
    <hyperlink ref="S149" r:id="rId299"/>
    <hyperlink ref="R150" r:id="rId300"/>
    <hyperlink ref="S150" r:id="rId301"/>
    <hyperlink ref="R151" r:id="rId302"/>
    <hyperlink ref="R152" r:id="rId303"/>
    <hyperlink ref="S152" r:id="rId304"/>
    <hyperlink ref="R153" r:id="rId305"/>
    <hyperlink ref="S153" r:id="rId306"/>
    <hyperlink ref="R154" r:id="rId307"/>
    <hyperlink ref="R155" r:id="rId308"/>
    <hyperlink ref="S155" r:id="rId309"/>
    <hyperlink ref="R156" r:id="rId310"/>
    <hyperlink ref="R157" r:id="rId311"/>
    <hyperlink ref="R158" r:id="rId312"/>
    <hyperlink ref="T158" r:id="rId313"/>
    <hyperlink ref="S159" r:id="rId314"/>
    <hyperlink ref="R160" r:id="rId315"/>
    <hyperlink ref="S160" r:id="rId316"/>
    <hyperlink ref="R161" r:id="rId317"/>
    <hyperlink ref="R162" r:id="rId318"/>
    <hyperlink ref="S162" r:id="rId319"/>
    <hyperlink ref="R163" r:id="rId320"/>
    <hyperlink ref="S163" r:id="rId3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2026-03-18T05:46:03Z</dcterms:modified>
</cp:coreProperties>
</file>